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FF1408E-D76F-4345-A26C-A4131CB3FA61}" xr6:coauthVersionLast="47" xr6:coauthVersionMax="47" xr10:uidLastSave="{00000000-0000-0000-0000-000000000000}"/>
  <bookViews>
    <workbookView xWindow="-108" yWindow="-108" windowWidth="23256" windowHeight="12456" firstSheet="1" activeTab="5" xr2:uid="{548D26E3-7983-4367-B00E-763D8E9E6565}"/>
  </bookViews>
  <sheets>
    <sheet name="RAVI JADEJA RAMANIYA" sheetId="3" r:id="rId1"/>
    <sheet name="KADAR KHAN WASHING MACHINE" sheetId="5" r:id="rId2"/>
    <sheet name="Sheet2" sheetId="2" r:id="rId3"/>
    <sheet name="DHANJAY AC STOWNSHIP" sheetId="4" r:id="rId4"/>
    <sheet name="West Coast" sheetId="1" r:id="rId5"/>
    <sheet name="AON" sheetId="6" r:id="rId6"/>
  </sheets>
  <definedNames>
    <definedName name="_xlnm.Print_Area" localSheetId="5">AON!$B$3:$K$48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6" l="1"/>
  <c r="K29" i="6"/>
  <c r="K28" i="6"/>
  <c r="K27" i="6"/>
  <c r="K26" i="6"/>
  <c r="B26" i="6"/>
  <c r="K25" i="6"/>
  <c r="B25" i="6"/>
  <c r="K24" i="6"/>
  <c r="B24" i="6"/>
  <c r="K23" i="6"/>
  <c r="B23" i="6"/>
  <c r="K22" i="6"/>
  <c r="B22" i="6"/>
  <c r="K21" i="6"/>
  <c r="B21" i="6"/>
  <c r="K20" i="6"/>
  <c r="B20" i="6"/>
  <c r="K29" i="5"/>
  <c r="K28" i="5"/>
  <c r="K27" i="5"/>
  <c r="K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K30" i="5" s="1"/>
  <c r="K34" i="5" s="1"/>
  <c r="B19" i="5"/>
  <c r="K29" i="3"/>
  <c r="K28" i="3"/>
  <c r="K27" i="3"/>
  <c r="K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29" i="4"/>
  <c r="K28" i="4"/>
  <c r="K27" i="4"/>
  <c r="K26" i="4"/>
  <c r="K25" i="4"/>
  <c r="B25" i="4"/>
  <c r="K24" i="4"/>
  <c r="B24" i="4"/>
  <c r="K23" i="4"/>
  <c r="B23" i="4"/>
  <c r="K22" i="4"/>
  <c r="B22" i="4"/>
  <c r="K21" i="4"/>
  <c r="B21" i="4"/>
  <c r="K20" i="4"/>
  <c r="B20" i="4"/>
  <c r="K19" i="4"/>
  <c r="B19" i="4"/>
  <c r="K30" i="1"/>
  <c r="K29" i="1"/>
  <c r="K28" i="1"/>
  <c r="K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31" i="6" l="1"/>
  <c r="K35" i="6" s="1"/>
  <c r="K30" i="3"/>
  <c r="K34" i="3" s="1"/>
  <c r="K30" i="4"/>
  <c r="K34" i="4" s="1"/>
  <c r="K31" i="1"/>
  <c r="K35" i="1" s="1"/>
  <c r="I30" i="4"/>
  <c r="I30" i="3"/>
  <c r="I30" i="5"/>
  <c r="I31" i="1"/>
  <c r="I31" i="6"/>
</calcChain>
</file>

<file path=xl/sharedStrings.xml><?xml version="1.0" encoding="utf-8"?>
<sst xmlns="http://schemas.openxmlformats.org/spreadsheetml/2006/main" count="215" uniqueCount="77">
  <si>
    <t>JAY RAMJI ENTERPRISE</t>
  </si>
  <si>
    <t>AT- Maruti Chhaya Complex, Nr. Satkar Shopping.St. Xevier School Road, Baroi Road, Mundra-370421 Mo:- 84693 26901</t>
  </si>
  <si>
    <t>TAX INVOICE</t>
  </si>
  <si>
    <t>SOLD TO:</t>
  </si>
  <si>
    <t>WEST COASTCORROTECH SERVICE LLP</t>
  </si>
  <si>
    <t>Invoice No.</t>
  </si>
  <si>
    <t>Invoice Date</t>
  </si>
  <si>
    <t>Terms of Payment*</t>
  </si>
  <si>
    <t xml:space="preserve">Within 10 days clear payment </t>
  </si>
  <si>
    <t>SR. NO.</t>
  </si>
  <si>
    <t>DESCRIPTION OF GOODS</t>
  </si>
  <si>
    <t>QTY</t>
  </si>
  <si>
    <t>PRICE</t>
  </si>
  <si>
    <t>AMOUNT</t>
  </si>
  <si>
    <t>AC WATER SERVICE</t>
  </si>
  <si>
    <t>AC FOULT IDENTYFY AND PCB REMOVE AND INSTALATION</t>
  </si>
  <si>
    <t xml:space="preserve">Total </t>
  </si>
  <si>
    <t xml:space="preserve">Amount In Words:- </t>
  </si>
  <si>
    <t xml:space="preserve"> PARTS</t>
  </si>
  <si>
    <t>THREE THOUSAND FIVE HUNDRED FIFTY ONLY</t>
  </si>
  <si>
    <t xml:space="preserve"> LABOR</t>
  </si>
  <si>
    <t>Bank Details:-</t>
  </si>
  <si>
    <t xml:space="preserve"> TAX</t>
  </si>
  <si>
    <t>AC Name:- Mavani Jaykumar Kamleshbhai</t>
  </si>
  <si>
    <t xml:space="preserve"> TOTAL</t>
  </si>
  <si>
    <t>AC No:- 36960100002893</t>
  </si>
  <si>
    <r>
      <rPr>
        <b/>
        <sz val="10"/>
        <rFont val="Arial"/>
        <family val="2"/>
      </rPr>
      <t>PAN NO -</t>
    </r>
    <r>
      <rPr>
        <sz val="10"/>
        <rFont val="Arial"/>
        <family val="2"/>
      </rPr>
      <t xml:space="preserve"> GMKPM3060C</t>
    </r>
  </si>
  <si>
    <t>Branch:- Bank of Baroda - Gadhasisa</t>
  </si>
  <si>
    <t>IFSC Code:- BARB0GADHSH</t>
  </si>
  <si>
    <t>SERVICE SUPERVISED BY</t>
  </si>
  <si>
    <t>SIGNED</t>
  </si>
  <si>
    <t>Types Of Service</t>
  </si>
  <si>
    <t xml:space="preserve">UOM </t>
  </si>
  <si>
    <t>Price</t>
  </si>
  <si>
    <t>AC Dry Service</t>
  </si>
  <si>
    <t>Gas Charging (Per 1 Ton, Including Gas)</t>
  </si>
  <si>
    <t>Inspection / Complaint Charge (Checking &amp; Fault Identification Only)</t>
  </si>
  <si>
    <t>Split AC Installation Charge (Per 1 Ton)</t>
  </si>
  <si>
    <t>Duct AC Installation Charge (Per 1 Ton)</t>
  </si>
  <si>
    <t>AC Dismantling (Per 1 Ton)</t>
  </si>
  <si>
    <t>Copper Pipe Charge (Per Foot, Material Not Included)</t>
  </si>
  <si>
    <t>Gas Top-Up (Per 1 Ton, Split AC, Including Gas)</t>
  </si>
  <si>
    <t>Visit Charge</t>
  </si>
  <si>
    <t>Leakage Detection And Repair (Up To 5 Ton)</t>
  </si>
  <si>
    <t>AC Water Service</t>
  </si>
  <si>
    <t>AC Foult Identyfy And Pcb Remove And Instalation</t>
  </si>
  <si>
    <t>AC Water Service (Up To 5 Ton)</t>
  </si>
  <si>
    <t>AC Water Service (Up 5 To 8.5 Ton)</t>
  </si>
  <si>
    <t>Preventive Maintenance (Pm) AC Health Check</t>
  </si>
  <si>
    <t>Preventive Maintenance (Pm) AC Health Check (Per 1 Ton)</t>
  </si>
  <si>
    <t>Compressor ReplACement (Per 1 Ton)</t>
  </si>
  <si>
    <t>Indoor Blower ReplACement (Split AC Only)</t>
  </si>
  <si>
    <t>Blower ReplACement (Duct AC, 1–5 Ton)</t>
  </si>
  <si>
    <t>Blower ReplACement (Duct AC, 5–11 Ton)</t>
  </si>
  <si>
    <t>Number</t>
  </si>
  <si>
    <t xml:space="preserve">Dhananjay sir jass energy </t>
  </si>
  <si>
    <t>samudra township C22/5</t>
  </si>
  <si>
    <t>JRE20261</t>
  </si>
  <si>
    <t>AC INSTALATION &amp; ODU STAND</t>
  </si>
  <si>
    <t>ONE THUSEND ONLY</t>
  </si>
  <si>
    <t xml:space="preserve">RAVI JADEJA </t>
  </si>
  <si>
    <t xml:space="preserve">RAMANIYA </t>
  </si>
  <si>
    <t>JRE20262</t>
  </si>
  <si>
    <t>ONE THUSEND THREE HUNDRED ONLY</t>
  </si>
  <si>
    <t xml:space="preserve">NAGORI KADAR KHAN </t>
  </si>
  <si>
    <t>SAMUNDRA TOWNSHIP A4/5</t>
  </si>
  <si>
    <t>JRE20263</t>
  </si>
  <si>
    <t xml:space="preserve">WASHING MACHINE CHEAK DRAIN VALVE </t>
  </si>
  <si>
    <t>FOUR HUNDRED FIFTY ONLY</t>
  </si>
  <si>
    <t>AC SYSTEM VACUME AND GAS RELISES</t>
  </si>
  <si>
    <t>INDOOR OUTDOOR SERVICE</t>
  </si>
  <si>
    <t>INDOOR UNLOCKING</t>
  </si>
  <si>
    <t>WATER LEAKEG INDOOR</t>
  </si>
  <si>
    <t>AC DEALY TIME PANEL PROGRAMING</t>
  </si>
  <si>
    <t>AC EROOR SOLVED</t>
  </si>
  <si>
    <t>FOUR THOUSAND FOUR HUNDRED FIFTY ONLY</t>
  </si>
  <si>
    <t>AON ENGINEERS AND CONSULTANTS PVT.LTD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</si>
</sst>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0_);\(0\)"/>
    <numFmt numFmtId="165" formatCode="0_)"/>
    <numFmt numFmtId="166" formatCode="&quot;$&quot;#,##0.00_);\(&quot;$&quot;#,##0.00\)"/>
    <numFmt numFmtId="167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29">
    <xf numFmtId="0" fontId="0" fillId="0" borderId="0" xfId="0"/>
    <xf numFmtId="0" fontId="2" fillId="0" borderId="0" xfId="0" applyFont="1"/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Protection="1">
      <protection locked="0"/>
    </xf>
    <xf numFmtId="0" fontId="2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right"/>
      <protection locked="0"/>
    </xf>
    <xf numFmtId="0" fontId="2" fillId="4" borderId="0" xfId="0" applyFont="1" applyFill="1"/>
    <xf numFmtId="0" fontId="2" fillId="4" borderId="9" xfId="0" applyFont="1" applyFill="1" applyBorder="1"/>
    <xf numFmtId="0" fontId="6" fillId="4" borderId="11" xfId="0" applyFont="1" applyFill="1" applyBorder="1"/>
    <xf numFmtId="0" fontId="2" fillId="3" borderId="7" xfId="0" applyFont="1" applyFill="1" applyBorder="1" applyProtection="1">
      <protection locked="0"/>
    </xf>
    <xf numFmtId="0" fontId="2" fillId="3" borderId="0" xfId="0" applyFont="1" applyFill="1" applyProtection="1">
      <protection locked="0"/>
    </xf>
    <xf numFmtId="0" fontId="2" fillId="4" borderId="7" xfId="0" applyFont="1" applyFill="1" applyBorder="1"/>
    <xf numFmtId="0" fontId="2" fillId="0" borderId="0" xfId="0" applyFont="1" applyAlignment="1">
      <alignment vertical="center"/>
    </xf>
    <xf numFmtId="164" fontId="2" fillId="3" borderId="25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165" fontId="2" fillId="3" borderId="25" xfId="0" applyNumberFormat="1" applyFont="1" applyFill="1" applyBorder="1" applyAlignment="1" applyProtection="1">
      <alignment horizontal="center" vertical="center"/>
      <protection locked="0"/>
    </xf>
    <xf numFmtId="0" fontId="2" fillId="5" borderId="16" xfId="0" applyFont="1" applyFill="1" applyBorder="1" applyAlignment="1">
      <alignment vertical="center"/>
    </xf>
    <xf numFmtId="2" fontId="2" fillId="5" borderId="10" xfId="0" applyNumberFormat="1" applyFont="1" applyFill="1" applyBorder="1" applyAlignment="1">
      <alignment vertical="center"/>
    </xf>
    <xf numFmtId="4" fontId="2" fillId="3" borderId="17" xfId="0" applyNumberFormat="1" applyFont="1" applyFill="1" applyBorder="1" applyAlignment="1" applyProtection="1">
      <alignment vertical="center"/>
      <protection locked="0"/>
    </xf>
    <xf numFmtId="4" fontId="2" fillId="4" borderId="27" xfId="0" applyNumberFormat="1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165" fontId="2" fillId="3" borderId="28" xfId="0" applyNumberFormat="1" applyFont="1" applyFill="1" applyBorder="1" applyAlignment="1" applyProtection="1">
      <alignment horizontal="center" vertical="center"/>
      <protection locked="0"/>
    </xf>
    <xf numFmtId="0" fontId="2" fillId="5" borderId="31" xfId="0" applyFont="1" applyFill="1" applyBorder="1" applyAlignment="1">
      <alignment vertical="center"/>
    </xf>
    <xf numFmtId="44" fontId="2" fillId="3" borderId="32" xfId="1" applyFont="1" applyFill="1" applyBorder="1" applyAlignment="1" applyProtection="1">
      <alignment vertical="center"/>
      <protection locked="0"/>
    </xf>
    <xf numFmtId="44" fontId="2" fillId="3" borderId="33" xfId="1" applyFont="1" applyFill="1" applyBorder="1" applyAlignment="1" applyProtection="1">
      <alignment vertical="center"/>
      <protection locked="0"/>
    </xf>
    <xf numFmtId="44" fontId="2" fillId="3" borderId="34" xfId="1" applyFont="1" applyFill="1" applyBorder="1" applyAlignment="1" applyProtection="1">
      <alignment vertical="center"/>
      <protection locked="0"/>
    </xf>
    <xf numFmtId="0" fontId="6" fillId="0" borderId="0" xfId="0" applyFont="1" applyAlignment="1">
      <alignment horizontal="left" vertical="top"/>
    </xf>
    <xf numFmtId="166" fontId="6" fillId="4" borderId="35" xfId="0" applyNumberFormat="1" applyFont="1" applyFill="1" applyBorder="1" applyAlignment="1">
      <alignment vertical="top"/>
    </xf>
    <xf numFmtId="166" fontId="6" fillId="4" borderId="36" xfId="0" applyNumberFormat="1" applyFont="1" applyFill="1" applyBorder="1" applyAlignment="1">
      <alignment vertical="top"/>
    </xf>
    <xf numFmtId="166" fontId="6" fillId="4" borderId="37" xfId="0" applyNumberFormat="1" applyFont="1" applyFill="1" applyBorder="1" applyAlignment="1">
      <alignment vertical="top"/>
    </xf>
    <xf numFmtId="0" fontId="2" fillId="4" borderId="39" xfId="0" applyFont="1" applyFill="1" applyBorder="1"/>
    <xf numFmtId="167" fontId="2" fillId="4" borderId="40" xfId="0" applyNumberFormat="1" applyFont="1" applyFill="1" applyBorder="1"/>
    <xf numFmtId="0" fontId="2" fillId="4" borderId="44" xfId="0" applyFont="1" applyFill="1" applyBorder="1"/>
    <xf numFmtId="166" fontId="10" fillId="4" borderId="7" xfId="0" applyNumberFormat="1" applyFont="1" applyFill="1" applyBorder="1"/>
    <xf numFmtId="166" fontId="2" fillId="4" borderId="0" xfId="0" applyNumberFormat="1" applyFont="1" applyFill="1"/>
    <xf numFmtId="166" fontId="2" fillId="4" borderId="14" xfId="0" applyNumberFormat="1" applyFont="1" applyFill="1" applyBorder="1"/>
    <xf numFmtId="166" fontId="2" fillId="4" borderId="7" xfId="0" applyNumberFormat="1" applyFont="1" applyFill="1" applyBorder="1"/>
    <xf numFmtId="0" fontId="6" fillId="4" borderId="45" xfId="0" applyFont="1" applyFill="1" applyBorder="1" applyAlignment="1">
      <alignment vertical="center"/>
    </xf>
    <xf numFmtId="167" fontId="6" fillId="4" borderId="40" xfId="0" applyNumberFormat="1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167" fontId="6" fillId="4" borderId="46" xfId="0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horizontal="centerContinuous"/>
    </xf>
    <xf numFmtId="0" fontId="2" fillId="4" borderId="46" xfId="0" applyFont="1" applyFill="1" applyBorder="1" applyAlignment="1">
      <alignment horizontal="centerContinuous"/>
    </xf>
    <xf numFmtId="166" fontId="2" fillId="4" borderId="15" xfId="0" applyNumberFormat="1" applyFont="1" applyFill="1" applyBorder="1"/>
    <xf numFmtId="166" fontId="2" fillId="4" borderId="16" xfId="0" applyNumberFormat="1" applyFont="1" applyFill="1" applyBorder="1"/>
    <xf numFmtId="166" fontId="2" fillId="4" borderId="17" xfId="0" applyNumberFormat="1" applyFont="1" applyFill="1" applyBorder="1"/>
    <xf numFmtId="0" fontId="2" fillId="4" borderId="0" xfId="0" applyFont="1" applyFill="1" applyAlignment="1">
      <alignment horizontal="centerContinuous"/>
    </xf>
    <xf numFmtId="0" fontId="2" fillId="4" borderId="9" xfId="0" applyFont="1" applyFill="1" applyBorder="1" applyAlignment="1">
      <alignment horizontal="centerContinuous"/>
    </xf>
    <xf numFmtId="0" fontId="2" fillId="4" borderId="16" xfId="0" applyFont="1" applyFill="1" applyBorder="1" applyAlignment="1">
      <alignment horizontal="centerContinuous"/>
    </xf>
    <xf numFmtId="0" fontId="2" fillId="4" borderId="27" xfId="0" applyFont="1" applyFill="1" applyBorder="1" applyAlignment="1">
      <alignment horizontal="centerContinuous"/>
    </xf>
    <xf numFmtId="0" fontId="2" fillId="3" borderId="0" xfId="0" applyFont="1" applyFill="1"/>
    <xf numFmtId="0" fontId="2" fillId="3" borderId="9" xfId="0" applyFont="1" applyFill="1" applyBorder="1"/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/>
    <xf numFmtId="0" fontId="2" fillId="3" borderId="27" xfId="0" applyFont="1" applyFill="1" applyBorder="1"/>
    <xf numFmtId="0" fontId="2" fillId="3" borderId="11" xfId="0" applyFont="1" applyFill="1" applyBorder="1" applyProtection="1">
      <protection locked="0"/>
    </xf>
    <xf numFmtId="0" fontId="2" fillId="3" borderId="12" xfId="0" applyFont="1" applyFill="1" applyBorder="1"/>
    <xf numFmtId="0" fontId="2" fillId="3" borderId="46" xfId="0" applyFont="1" applyFill="1" applyBorder="1"/>
    <xf numFmtId="0" fontId="11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8" fillId="4" borderId="48" xfId="0" applyFont="1" applyFill="1" applyBorder="1" applyAlignment="1">
      <alignment horizontal="centerContinuous" vertical="top"/>
    </xf>
    <xf numFmtId="0" fontId="2" fillId="4" borderId="49" xfId="0" applyFont="1" applyFill="1" applyBorder="1" applyAlignment="1">
      <alignment horizontal="centerContinuous" vertical="top"/>
    </xf>
    <xf numFmtId="0" fontId="2" fillId="4" borderId="49" xfId="0" applyFont="1" applyFill="1" applyBorder="1" applyAlignment="1">
      <alignment vertical="top"/>
    </xf>
    <xf numFmtId="0" fontId="8" fillId="4" borderId="49" xfId="0" applyFont="1" applyFill="1" applyBorder="1" applyAlignment="1">
      <alignment horizontal="centerContinuous" vertical="top"/>
    </xf>
    <xf numFmtId="0" fontId="2" fillId="4" borderId="50" xfId="0" applyFont="1" applyFill="1" applyBorder="1" applyAlignment="1">
      <alignment horizontal="centerContinuous" vertical="top"/>
    </xf>
    <xf numFmtId="0" fontId="7" fillId="6" borderId="18" xfId="0" applyFont="1" applyFill="1" applyBorder="1" applyAlignment="1">
      <alignment horizontal="left" vertical="center"/>
    </xf>
    <xf numFmtId="0" fontId="7" fillId="6" borderId="19" xfId="0" applyFont="1" applyFill="1" applyBorder="1" applyAlignment="1">
      <alignment horizontal="centerContinuous" vertical="center"/>
    </xf>
    <xf numFmtId="0" fontId="8" fillId="6" borderId="20" xfId="0" applyFont="1" applyFill="1" applyBorder="1" applyAlignment="1">
      <alignment horizontal="centerContinuous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0" fillId="0" borderId="10" xfId="0" applyBorder="1"/>
    <xf numFmtId="0" fontId="2" fillId="3" borderId="10" xfId="0" applyFont="1" applyFill="1" applyBorder="1" applyAlignment="1" applyProtection="1">
      <alignment vertical="center"/>
      <protection locked="0"/>
    </xf>
    <xf numFmtId="0" fontId="2" fillId="3" borderId="7" xfId="0" applyFont="1" applyFill="1" applyBorder="1" applyProtection="1">
      <protection locked="0"/>
    </xf>
    <xf numFmtId="0" fontId="2" fillId="3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0" fontId="2" fillId="3" borderId="0" xfId="0" applyFont="1" applyFill="1" applyProtection="1">
      <protection locked="0"/>
    </xf>
    <xf numFmtId="0" fontId="2" fillId="3" borderId="14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6" xfId="0" applyFont="1" applyFill="1" applyBorder="1" applyAlignment="1" applyProtection="1">
      <alignment horizontal="center"/>
      <protection locked="0"/>
    </xf>
    <xf numFmtId="0" fontId="5" fillId="4" borderId="51" xfId="0" applyFont="1" applyFill="1" applyBorder="1" applyAlignment="1">
      <alignment horizontal="center"/>
    </xf>
    <xf numFmtId="0" fontId="5" fillId="4" borderId="52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14" fontId="2" fillId="3" borderId="19" xfId="0" applyNumberFormat="1" applyFont="1" applyFill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0" fontId="2" fillId="3" borderId="22" xfId="0" applyFont="1" applyFill="1" applyBorder="1" applyAlignment="1" applyProtection="1">
      <alignment horizontal="center" vertical="center"/>
      <protection locked="0"/>
    </xf>
    <xf numFmtId="164" fontId="2" fillId="3" borderId="19" xfId="0" applyNumberFormat="1" applyFont="1" applyFill="1" applyBorder="1" applyAlignment="1" applyProtection="1">
      <alignment horizontal="center" vertical="center"/>
      <protection locked="0"/>
    </xf>
    <xf numFmtId="164" fontId="2" fillId="3" borderId="23" xfId="0" applyNumberFormat="1" applyFont="1" applyFill="1" applyBorder="1" applyAlignment="1" applyProtection="1">
      <alignment horizontal="center" vertical="center"/>
      <protection locked="0"/>
    </xf>
    <xf numFmtId="164" fontId="2" fillId="3" borderId="24" xfId="0" applyNumberFormat="1" applyFont="1" applyFill="1" applyBorder="1" applyAlignment="1" applyProtection="1">
      <alignment horizontal="center" vertical="center"/>
      <protection locked="0"/>
    </xf>
    <xf numFmtId="0" fontId="2" fillId="3" borderId="19" xfId="0" applyFont="1" applyFill="1" applyBorder="1" applyAlignment="1" applyProtection="1">
      <alignment vertical="center"/>
      <protection locked="0"/>
    </xf>
    <xf numFmtId="0" fontId="2" fillId="3" borderId="23" xfId="0" applyFont="1" applyFill="1" applyBorder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6" fillId="3" borderId="29" xfId="0" applyFont="1" applyFill="1" applyBorder="1" applyAlignment="1" applyProtection="1">
      <alignment horizontal="center" vertical="center"/>
      <protection locked="0"/>
    </xf>
    <xf numFmtId="0" fontId="6" fillId="3" borderId="3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166" fontId="6" fillId="4" borderId="41" xfId="0" applyNumberFormat="1" applyFont="1" applyFill="1" applyBorder="1" applyAlignment="1">
      <alignment horizontal="center" vertical="top"/>
    </xf>
    <xf numFmtId="166" fontId="6" fillId="4" borderId="8" xfId="0" applyNumberFormat="1" applyFont="1" applyFill="1" applyBorder="1" applyAlignment="1">
      <alignment horizontal="center" vertical="top"/>
    </xf>
    <xf numFmtId="166" fontId="6" fillId="4" borderId="42" xfId="0" applyNumberFormat="1" applyFont="1" applyFill="1" applyBorder="1" applyAlignment="1">
      <alignment horizontal="center" vertical="top"/>
    </xf>
    <xf numFmtId="166" fontId="2" fillId="4" borderId="0" xfId="0" applyNumberFormat="1" applyFont="1" applyFill="1" applyAlignment="1">
      <alignment horizontal="center"/>
    </xf>
    <xf numFmtId="166" fontId="2" fillId="4" borderId="14" xfId="0" applyNumberFormat="1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12" fillId="0" borderId="0" xfId="2" applyAlignment="1" applyProtection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88275</xdr:colOff>
      <xdr:row>3</xdr:row>
      <xdr:rowOff>71120</xdr:rowOff>
    </xdr:from>
    <xdr:to>
      <xdr:col>10</xdr:col>
      <xdr:colOff>1096654</xdr:colOff>
      <xdr:row>13</xdr:row>
      <xdr:rowOff>143510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0830D3-3F7A-4C63-92F3-987B0ACE2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15" y="840740"/>
          <a:ext cx="2532379" cy="200787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39</xdr:row>
      <xdr:rowOff>25401</xdr:rowOff>
    </xdr:from>
    <xdr:to>
      <xdr:col>10</xdr:col>
      <xdr:colOff>574081</xdr:colOff>
      <xdr:row>45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6DA231-60D2-4A4F-B0E6-57295C2A08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5" t="21503" r="10548" b="18392"/>
        <a:stretch>
          <a:fillRect/>
        </a:stretch>
      </xdr:blipFill>
      <xdr:spPr>
        <a:xfrm>
          <a:off x="6000750" y="7493001"/>
          <a:ext cx="1278931" cy="1209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57795</xdr:colOff>
      <xdr:row>3</xdr:row>
      <xdr:rowOff>25400</xdr:rowOff>
    </xdr:from>
    <xdr:to>
      <xdr:col>10</xdr:col>
      <xdr:colOff>983966</xdr:colOff>
      <xdr:row>13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B9EC8-820A-4631-9A94-D6807DA14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3675" y="795020"/>
          <a:ext cx="2488271" cy="207772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39</xdr:row>
      <xdr:rowOff>25401</xdr:rowOff>
    </xdr:from>
    <xdr:to>
      <xdr:col>10</xdr:col>
      <xdr:colOff>116881</xdr:colOff>
      <xdr:row>45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8D82C0-8BDD-4646-8129-2CFBFFCA0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5" t="21503" r="10548" b="18392"/>
        <a:stretch>
          <a:fillRect/>
        </a:stretch>
      </xdr:blipFill>
      <xdr:spPr>
        <a:xfrm>
          <a:off x="6206490" y="7493001"/>
          <a:ext cx="1278931" cy="12090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141615</xdr:colOff>
      <xdr:row>3</xdr:row>
      <xdr:rowOff>63500</xdr:rowOff>
    </xdr:from>
    <xdr:to>
      <xdr:col>10</xdr:col>
      <xdr:colOff>1439554</xdr:colOff>
      <xdr:row>13</xdr:row>
      <xdr:rowOff>29210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84B80-ABBC-43C0-8B8D-DFF2837D4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0315" y="977900"/>
          <a:ext cx="2532379" cy="179451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39</xdr:row>
      <xdr:rowOff>25401</xdr:rowOff>
    </xdr:from>
    <xdr:to>
      <xdr:col>10</xdr:col>
      <xdr:colOff>444541</xdr:colOff>
      <xdr:row>45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0C3D05-0BCB-4996-BA53-7279DD12B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5" t="21503" r="10548" b="18392"/>
        <a:stretch>
          <a:fillRect/>
        </a:stretch>
      </xdr:blipFill>
      <xdr:spPr>
        <a:xfrm>
          <a:off x="5238750" y="8483601"/>
          <a:ext cx="1278931" cy="12090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323850</xdr:colOff>
      <xdr:row>1</xdr:row>
      <xdr:rowOff>123825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A4F5E453-C04A-483C-83C9-D79B76BEDA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45770" cy="29146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141615</xdr:colOff>
      <xdr:row>4</xdr:row>
      <xdr:rowOff>63500</xdr:rowOff>
    </xdr:from>
    <xdr:to>
      <xdr:col>10</xdr:col>
      <xdr:colOff>997594</xdr:colOff>
      <xdr:row>14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115CF-C77D-43EF-A2D7-5A1E4D225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0315" y="977900"/>
          <a:ext cx="2440939" cy="179451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40</xdr:row>
      <xdr:rowOff>25401</xdr:rowOff>
    </xdr:from>
    <xdr:to>
      <xdr:col>10</xdr:col>
      <xdr:colOff>2581</xdr:colOff>
      <xdr:row>47</xdr:row>
      <xdr:rowOff>38101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0E5BD1-85FF-4D91-B30F-7062E52D2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5" t="21503" r="10548" b="18392"/>
        <a:stretch>
          <a:fillRect/>
        </a:stretch>
      </xdr:blipFill>
      <xdr:spPr>
        <a:xfrm>
          <a:off x="5238750" y="8483601"/>
          <a:ext cx="1233211" cy="12090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323850</xdr:colOff>
      <xdr:row>1</xdr:row>
      <xdr:rowOff>123825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DB3E9EBC-4727-4B08-A9C3-F1205E0C4B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45770" cy="29146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141615</xdr:colOff>
      <xdr:row>4</xdr:row>
      <xdr:rowOff>63500</xdr:rowOff>
    </xdr:from>
    <xdr:to>
      <xdr:col>10</xdr:col>
      <xdr:colOff>974734</xdr:colOff>
      <xdr:row>14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1DA5E1-A78D-4603-ACC7-FEC2278F4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0315" y="977900"/>
          <a:ext cx="2532379" cy="179451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40</xdr:row>
      <xdr:rowOff>25401</xdr:rowOff>
    </xdr:from>
    <xdr:to>
      <xdr:col>9</xdr:col>
      <xdr:colOff>894121</xdr:colOff>
      <xdr:row>47</xdr:row>
      <xdr:rowOff>38101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B9C64B-D7FA-4740-85E5-9C8B2D0F5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5" t="21503" r="10548" b="18392"/>
        <a:stretch>
          <a:fillRect/>
        </a:stretch>
      </xdr:blipFill>
      <xdr:spPr>
        <a:xfrm>
          <a:off x="5238750" y="8483601"/>
          <a:ext cx="1278931" cy="120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ABBF-076C-454B-A965-A3D50809EFB1}">
  <dimension ref="B1:K47"/>
  <sheetViews>
    <sheetView topLeftCell="A25" workbookViewId="0">
      <selection activeCell="B2" sqref="B2:K47"/>
    </sheetView>
  </sheetViews>
  <sheetFormatPr defaultRowHeight="14.4" x14ac:dyDescent="0.3"/>
  <cols>
    <col min="5" max="5" width="19.44140625" customWidth="1"/>
    <col min="6" max="6" width="16.5546875" customWidth="1"/>
    <col min="7" max="7" width="7" customWidth="1"/>
    <col min="8" max="8" width="6.109375" customWidth="1"/>
    <col min="9" max="9" width="7" customWidth="1"/>
    <col min="10" max="10" width="9.109375" customWidth="1"/>
    <col min="11" max="11" width="21.5546875" customWidth="1"/>
  </cols>
  <sheetData>
    <row r="1" spans="2:11" ht="15" thickBot="1" x14ac:dyDescent="0.35"/>
    <row r="2" spans="2:11" ht="30.6" thickBot="1" x14ac:dyDescent="0.3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6"/>
    </row>
    <row r="3" spans="2:11" ht="15" thickBot="1" x14ac:dyDescent="0.35">
      <c r="B3" s="87" t="s">
        <v>1</v>
      </c>
      <c r="C3" s="88"/>
      <c r="D3" s="88"/>
      <c r="E3" s="88"/>
      <c r="F3" s="88"/>
      <c r="G3" s="88"/>
      <c r="H3" s="88"/>
      <c r="I3" s="88"/>
      <c r="J3" s="88"/>
      <c r="K3" s="89"/>
    </row>
    <row r="4" spans="2:11" x14ac:dyDescent="0.3">
      <c r="B4" s="2"/>
      <c r="C4" s="3"/>
      <c r="D4" s="3"/>
      <c r="E4" s="3"/>
      <c r="F4" s="4"/>
      <c r="G4" s="4"/>
      <c r="H4" s="3"/>
      <c r="I4" s="3"/>
      <c r="J4" s="3"/>
      <c r="K4" s="5"/>
    </row>
    <row r="5" spans="2:11" ht="22.8" x14ac:dyDescent="0.4">
      <c r="B5" s="12"/>
      <c r="C5" s="13"/>
      <c r="D5" s="13"/>
      <c r="E5" s="8"/>
      <c r="F5" s="90" t="s">
        <v>2</v>
      </c>
      <c r="G5" s="91"/>
      <c r="H5" s="9"/>
      <c r="I5" s="9"/>
      <c r="J5" s="9"/>
      <c r="K5" s="10"/>
    </row>
    <row r="6" spans="2:11" x14ac:dyDescent="0.3">
      <c r="B6" s="12"/>
      <c r="C6" s="13"/>
      <c r="D6" s="13"/>
      <c r="E6" s="8"/>
      <c r="F6" s="9"/>
      <c r="G6" s="9"/>
      <c r="H6" s="9"/>
      <c r="I6" s="9"/>
      <c r="J6" s="9"/>
      <c r="K6" s="10"/>
    </row>
    <row r="7" spans="2:11" x14ac:dyDescent="0.3">
      <c r="B7" s="12"/>
      <c r="C7" s="13"/>
      <c r="D7" s="13"/>
      <c r="E7" s="8"/>
      <c r="F7" s="9"/>
      <c r="G7" s="9"/>
      <c r="H7" s="9"/>
      <c r="I7" s="9"/>
      <c r="J7" s="9"/>
      <c r="K7" s="10"/>
    </row>
    <row r="8" spans="2:11" x14ac:dyDescent="0.3">
      <c r="B8" s="11" t="s">
        <v>3</v>
      </c>
      <c r="C8" s="92"/>
      <c r="D8" s="92"/>
      <c r="E8" s="93"/>
      <c r="F8" s="9"/>
      <c r="G8" s="9"/>
      <c r="H8" s="9"/>
      <c r="I8" s="9"/>
      <c r="J8" s="9"/>
      <c r="K8" s="10"/>
    </row>
    <row r="9" spans="2:11" x14ac:dyDescent="0.3">
      <c r="B9" s="81"/>
      <c r="C9" s="82"/>
      <c r="D9" s="82"/>
      <c r="E9" s="83"/>
      <c r="F9" s="9"/>
      <c r="G9" s="9"/>
      <c r="H9" s="9"/>
      <c r="I9" s="9"/>
      <c r="J9" s="9"/>
      <c r="K9" s="10"/>
    </row>
    <row r="10" spans="2:11" x14ac:dyDescent="0.3">
      <c r="B10" s="81" t="s">
        <v>60</v>
      </c>
      <c r="C10" s="82"/>
      <c r="D10" s="82"/>
      <c r="E10" s="83"/>
      <c r="F10" s="9"/>
      <c r="G10" s="9"/>
      <c r="H10" s="9"/>
      <c r="I10" s="9"/>
      <c r="J10" s="9"/>
      <c r="K10" s="10"/>
    </row>
    <row r="11" spans="2:11" x14ac:dyDescent="0.3">
      <c r="B11" s="81" t="s">
        <v>61</v>
      </c>
      <c r="C11" s="82"/>
      <c r="D11" s="82"/>
      <c r="E11" s="83"/>
      <c r="F11" s="9"/>
      <c r="G11" s="9"/>
      <c r="H11" s="9"/>
      <c r="I11" s="9"/>
      <c r="J11" s="9"/>
      <c r="K11" s="10"/>
    </row>
    <row r="12" spans="2:11" x14ac:dyDescent="0.3">
      <c r="B12" s="94"/>
      <c r="C12" s="95"/>
      <c r="D12" s="95"/>
      <c r="E12" s="96"/>
      <c r="F12" s="9"/>
      <c r="G12" s="9"/>
      <c r="H12" s="9"/>
      <c r="I12" s="9"/>
      <c r="J12" s="9"/>
      <c r="K12" s="10"/>
    </row>
    <row r="13" spans="2:11" x14ac:dyDescent="0.3">
      <c r="B13" s="12"/>
      <c r="C13" s="13"/>
      <c r="D13" s="13"/>
      <c r="E13" s="8"/>
      <c r="F13" s="9"/>
      <c r="G13" s="9"/>
      <c r="H13" s="9"/>
      <c r="I13" s="9"/>
      <c r="J13" s="9"/>
      <c r="K13" s="10"/>
    </row>
    <row r="14" spans="2:11" x14ac:dyDescent="0.3">
      <c r="B14" s="14"/>
      <c r="C14" s="9"/>
      <c r="D14" s="9"/>
      <c r="E14" s="9"/>
      <c r="F14" s="9"/>
      <c r="G14" s="9"/>
      <c r="H14" s="9"/>
      <c r="I14" s="9"/>
      <c r="J14" s="9"/>
      <c r="K14" s="10"/>
    </row>
    <row r="15" spans="2:11" x14ac:dyDescent="0.3">
      <c r="B15" s="68" t="s">
        <v>5</v>
      </c>
      <c r="C15" s="69" t="s">
        <v>6</v>
      </c>
      <c r="D15" s="70"/>
      <c r="E15" s="97"/>
      <c r="F15" s="98"/>
      <c r="G15" s="99" t="s">
        <v>7</v>
      </c>
      <c r="H15" s="100"/>
      <c r="I15" s="100"/>
      <c r="J15" s="100"/>
      <c r="K15" s="101"/>
    </row>
    <row r="16" spans="2:11" x14ac:dyDescent="0.3">
      <c r="B16" s="16" t="s">
        <v>62</v>
      </c>
      <c r="C16" s="102">
        <v>46240</v>
      </c>
      <c r="D16" s="103"/>
      <c r="E16" s="104"/>
      <c r="F16" s="105"/>
      <c r="G16" s="106" t="s">
        <v>8</v>
      </c>
      <c r="H16" s="107"/>
      <c r="I16" s="107"/>
      <c r="J16" s="107"/>
      <c r="K16" s="108"/>
    </row>
    <row r="17" spans="2:11" x14ac:dyDescent="0.3">
      <c r="B17" s="14"/>
      <c r="C17" s="9"/>
      <c r="D17" s="9"/>
      <c r="E17" s="9"/>
      <c r="F17" s="9"/>
      <c r="G17" s="9"/>
      <c r="H17" s="9"/>
      <c r="I17" s="9"/>
      <c r="J17" s="9"/>
      <c r="K17" s="10"/>
    </row>
    <row r="18" spans="2:11" x14ac:dyDescent="0.3">
      <c r="B18" s="71" t="s">
        <v>9</v>
      </c>
      <c r="C18" s="111" t="s">
        <v>10</v>
      </c>
      <c r="D18" s="112"/>
      <c r="E18" s="112"/>
      <c r="F18" s="112"/>
      <c r="G18" s="112"/>
      <c r="H18" s="113"/>
      <c r="I18" s="72" t="s">
        <v>11</v>
      </c>
      <c r="J18" s="73" t="s">
        <v>12</v>
      </c>
      <c r="K18" s="74" t="s">
        <v>13</v>
      </c>
    </row>
    <row r="19" spans="2:11" x14ac:dyDescent="0.3">
      <c r="B19" s="18" t="str">
        <f>IF(C19="","","1")</f>
        <v>1</v>
      </c>
      <c r="C19" s="109" t="s">
        <v>14</v>
      </c>
      <c r="D19" s="110"/>
      <c r="E19" s="110"/>
      <c r="F19" s="110"/>
      <c r="G19" s="110"/>
      <c r="H19" s="19"/>
      <c r="I19" s="20">
        <v>1</v>
      </c>
      <c r="J19" s="21">
        <v>1300</v>
      </c>
      <c r="K19" s="22">
        <f>IF(J19,J19*I19,"")</f>
        <v>1300</v>
      </c>
    </row>
    <row r="20" spans="2:11" x14ac:dyDescent="0.3">
      <c r="B20" s="18" t="str">
        <f>IF(C20="","","2")</f>
        <v/>
      </c>
      <c r="C20" s="109"/>
      <c r="D20" s="110"/>
      <c r="E20" s="110"/>
      <c r="F20" s="110"/>
      <c r="G20" s="110"/>
      <c r="H20" s="19"/>
      <c r="I20" s="20"/>
      <c r="J20" s="21"/>
      <c r="K20" s="22" t="str">
        <f t="shared" ref="K20:K29" si="0">IF(J20,J20*I20,"")</f>
        <v/>
      </c>
    </row>
    <row r="21" spans="2:11" x14ac:dyDescent="0.3">
      <c r="B21" s="18" t="str">
        <f>IF(C21="","","3")</f>
        <v/>
      </c>
      <c r="C21" s="109"/>
      <c r="D21" s="110"/>
      <c r="E21" s="110"/>
      <c r="F21" s="110"/>
      <c r="G21" s="110"/>
      <c r="H21" s="19"/>
      <c r="I21" s="20"/>
      <c r="J21" s="21"/>
      <c r="K21" s="22" t="str">
        <f t="shared" si="0"/>
        <v/>
      </c>
    </row>
    <row r="22" spans="2:11" x14ac:dyDescent="0.3">
      <c r="B22" s="18" t="str">
        <f>IF(C21="","","4")</f>
        <v/>
      </c>
      <c r="C22" s="109"/>
      <c r="D22" s="110"/>
      <c r="E22" s="110"/>
      <c r="F22" s="110"/>
      <c r="G22" s="110"/>
      <c r="H22" s="19"/>
      <c r="I22" s="20"/>
      <c r="J22" s="21"/>
      <c r="K22" s="22" t="str">
        <f t="shared" si="0"/>
        <v/>
      </c>
    </row>
    <row r="23" spans="2:11" x14ac:dyDescent="0.3">
      <c r="B23" s="18" t="str">
        <f>IF(C23="","","5")</f>
        <v/>
      </c>
      <c r="C23" s="109"/>
      <c r="D23" s="110"/>
      <c r="E23" s="110"/>
      <c r="F23" s="110"/>
      <c r="G23" s="110"/>
      <c r="H23" s="19"/>
      <c r="I23" s="20"/>
      <c r="J23" s="21"/>
      <c r="K23" s="22" t="str">
        <f t="shared" si="0"/>
        <v/>
      </c>
    </row>
    <row r="24" spans="2:11" x14ac:dyDescent="0.3">
      <c r="B24" s="18" t="str">
        <f>IF(C24="","","6")</f>
        <v/>
      </c>
      <c r="C24" s="109"/>
      <c r="D24" s="110"/>
      <c r="E24" s="110"/>
      <c r="F24" s="110"/>
      <c r="G24" s="110"/>
      <c r="H24" s="19"/>
      <c r="I24" s="20"/>
      <c r="J24" s="21"/>
      <c r="K24" s="22" t="str">
        <f t="shared" si="0"/>
        <v/>
      </c>
    </row>
    <row r="25" spans="2:11" x14ac:dyDescent="0.3">
      <c r="B25" s="18" t="str">
        <f>IF(C25="","","7")</f>
        <v/>
      </c>
      <c r="C25" s="109"/>
      <c r="D25" s="110"/>
      <c r="E25" s="110"/>
      <c r="F25" s="110"/>
      <c r="G25" s="110"/>
      <c r="H25" s="19"/>
      <c r="I25" s="20"/>
      <c r="J25" s="21"/>
      <c r="K25" s="22" t="str">
        <f t="shared" si="0"/>
        <v/>
      </c>
    </row>
    <row r="26" spans="2:11" x14ac:dyDescent="0.3">
      <c r="B26" s="18"/>
      <c r="C26" s="109"/>
      <c r="D26" s="110"/>
      <c r="E26" s="110"/>
      <c r="F26" s="110"/>
      <c r="G26" s="110"/>
      <c r="H26" s="19"/>
      <c r="I26" s="20"/>
      <c r="J26" s="21"/>
      <c r="K26" s="22" t="str">
        <f t="shared" si="0"/>
        <v/>
      </c>
    </row>
    <row r="27" spans="2:11" x14ac:dyDescent="0.3">
      <c r="B27" s="18"/>
      <c r="C27" s="109"/>
      <c r="D27" s="110"/>
      <c r="E27" s="110"/>
      <c r="F27" s="110"/>
      <c r="G27" s="110"/>
      <c r="H27" s="19"/>
      <c r="I27" s="20"/>
      <c r="J27" s="21"/>
      <c r="K27" s="22" t="str">
        <f t="shared" si="0"/>
        <v/>
      </c>
    </row>
    <row r="28" spans="2:11" x14ac:dyDescent="0.3">
      <c r="B28" s="18"/>
      <c r="C28" s="109"/>
      <c r="D28" s="110"/>
      <c r="E28" s="110"/>
      <c r="F28" s="110"/>
      <c r="G28" s="110"/>
      <c r="H28" s="19"/>
      <c r="I28" s="23"/>
      <c r="J28" s="21"/>
      <c r="K28" s="22" t="str">
        <f t="shared" si="0"/>
        <v/>
      </c>
    </row>
    <row r="29" spans="2:11" x14ac:dyDescent="0.3">
      <c r="B29" s="18"/>
      <c r="C29" s="109"/>
      <c r="D29" s="110"/>
      <c r="E29" s="110"/>
      <c r="F29" s="110"/>
      <c r="G29" s="110"/>
      <c r="H29" s="19"/>
      <c r="I29" s="23"/>
      <c r="J29" s="21"/>
      <c r="K29" s="22" t="str">
        <f t="shared" si="0"/>
        <v/>
      </c>
    </row>
    <row r="30" spans="2:11" ht="15" thickBot="1" x14ac:dyDescent="0.35">
      <c r="B30" s="24"/>
      <c r="C30" s="114" t="s">
        <v>16</v>
      </c>
      <c r="D30" s="115"/>
      <c r="E30" s="115"/>
      <c r="F30" s="115"/>
      <c r="G30" s="115"/>
      <c r="H30" s="25"/>
      <c r="I30" s="26">
        <f ca="1">SUM(I19:K65)</f>
        <v>0</v>
      </c>
      <c r="J30" s="27"/>
      <c r="K30" s="28">
        <f>SUM(K19:K29)</f>
        <v>1300</v>
      </c>
    </row>
    <row r="31" spans="2:11" x14ac:dyDescent="0.3">
      <c r="B31" s="30" t="s">
        <v>17</v>
      </c>
      <c r="C31" s="31"/>
      <c r="D31" s="31"/>
      <c r="E31" s="31"/>
      <c r="F31" s="31"/>
      <c r="G31" s="32"/>
      <c r="H31" s="116"/>
      <c r="I31" s="117"/>
      <c r="J31" s="33" t="s">
        <v>18</v>
      </c>
      <c r="K31" s="34"/>
    </row>
    <row r="32" spans="2:11" x14ac:dyDescent="0.3">
      <c r="B32" s="122" t="s">
        <v>63</v>
      </c>
      <c r="C32" s="123"/>
      <c r="D32" s="123"/>
      <c r="E32" s="123"/>
      <c r="F32" s="123"/>
      <c r="G32" s="124"/>
      <c r="H32" s="118"/>
      <c r="I32" s="119"/>
      <c r="J32" s="35" t="s">
        <v>20</v>
      </c>
      <c r="K32" s="34"/>
    </row>
    <row r="33" spans="2:11" x14ac:dyDescent="0.3">
      <c r="B33" s="36" t="s">
        <v>21</v>
      </c>
      <c r="C33" s="37"/>
      <c r="D33" s="37"/>
      <c r="E33" s="37"/>
      <c r="F33" s="37"/>
      <c r="G33" s="38"/>
      <c r="H33" s="118"/>
      <c r="I33" s="119"/>
      <c r="J33" s="35" t="s">
        <v>22</v>
      </c>
      <c r="K33" s="34"/>
    </row>
    <row r="34" spans="2:11" x14ac:dyDescent="0.3">
      <c r="B34" s="39" t="s">
        <v>23</v>
      </c>
      <c r="C34" s="37"/>
      <c r="D34" s="37"/>
      <c r="E34" s="37"/>
      <c r="F34" s="37"/>
      <c r="G34" s="38"/>
      <c r="H34" s="118"/>
      <c r="I34" s="119"/>
      <c r="J34" s="40" t="s">
        <v>24</v>
      </c>
      <c r="K34" s="41">
        <f>SUM(K30:K33)</f>
        <v>1300</v>
      </c>
    </row>
    <row r="35" spans="2:11" x14ac:dyDescent="0.3">
      <c r="B35" s="39" t="s">
        <v>25</v>
      </c>
      <c r="C35" s="37"/>
      <c r="D35" s="37"/>
      <c r="E35" s="125" t="s">
        <v>26</v>
      </c>
      <c r="F35" s="125"/>
      <c r="G35" s="126"/>
      <c r="H35" s="118"/>
      <c r="I35" s="119"/>
      <c r="J35" s="42"/>
      <c r="K35" s="43"/>
    </row>
    <row r="36" spans="2:11" x14ac:dyDescent="0.3">
      <c r="B36" s="39" t="s">
        <v>27</v>
      </c>
      <c r="C36" s="37"/>
      <c r="D36" s="37"/>
      <c r="E36" s="37"/>
      <c r="F36" s="37"/>
      <c r="G36" s="38"/>
      <c r="H36" s="118"/>
      <c r="I36" s="119"/>
      <c r="J36" s="42"/>
      <c r="K36" s="43"/>
    </row>
    <row r="37" spans="2:11" x14ac:dyDescent="0.3">
      <c r="B37" s="39" t="s">
        <v>28</v>
      </c>
      <c r="C37" s="37"/>
      <c r="D37" s="37"/>
      <c r="E37" s="37"/>
      <c r="F37" s="37"/>
      <c r="G37" s="38"/>
      <c r="H37" s="118"/>
      <c r="I37" s="119"/>
      <c r="J37" s="44"/>
      <c r="K37" s="45"/>
    </row>
    <row r="38" spans="2:11" x14ac:dyDescent="0.3">
      <c r="B38" s="46"/>
      <c r="C38" s="47"/>
      <c r="D38" s="47"/>
      <c r="E38" s="47"/>
      <c r="F38" s="47"/>
      <c r="G38" s="48"/>
      <c r="H38" s="118"/>
      <c r="I38" s="119"/>
      <c r="J38" s="49"/>
      <c r="K38" s="50"/>
    </row>
    <row r="39" spans="2:11" x14ac:dyDescent="0.3">
      <c r="B39" s="14"/>
      <c r="C39" s="9"/>
      <c r="D39" s="9"/>
      <c r="E39" s="92"/>
      <c r="F39" s="92"/>
      <c r="G39" s="93"/>
      <c r="H39" s="120"/>
      <c r="I39" s="121"/>
      <c r="J39" s="51"/>
      <c r="K39" s="52"/>
    </row>
    <row r="40" spans="2:11" x14ac:dyDescent="0.3">
      <c r="B40" s="14"/>
      <c r="C40" s="9"/>
      <c r="D40" s="9"/>
      <c r="E40" s="9"/>
      <c r="F40" s="9"/>
      <c r="G40" s="9"/>
      <c r="H40" s="9"/>
      <c r="I40" s="9"/>
      <c r="J40" s="9"/>
      <c r="K40" s="10"/>
    </row>
    <row r="41" spans="2:11" x14ac:dyDescent="0.3">
      <c r="B41" s="12"/>
      <c r="C41" s="53"/>
      <c r="D41" s="53"/>
      <c r="E41" s="53"/>
      <c r="F41" s="53"/>
      <c r="G41" s="53"/>
      <c r="H41" s="53"/>
      <c r="I41" s="53"/>
      <c r="J41" s="53"/>
      <c r="K41" s="54"/>
    </row>
    <row r="42" spans="2:11" x14ac:dyDescent="0.3">
      <c r="B42" s="12"/>
      <c r="C42" s="53"/>
      <c r="D42" s="53"/>
      <c r="E42" s="53"/>
      <c r="F42" s="53"/>
      <c r="G42" s="53"/>
      <c r="H42" s="53"/>
      <c r="I42" s="53"/>
      <c r="J42" s="53"/>
      <c r="K42" s="54"/>
    </row>
    <row r="43" spans="2:11" x14ac:dyDescent="0.3">
      <c r="B43" s="12"/>
      <c r="C43" s="53"/>
      <c r="D43" s="53"/>
      <c r="E43" s="53"/>
      <c r="F43" s="53"/>
      <c r="G43" s="53"/>
      <c r="H43" s="53"/>
      <c r="I43" s="53"/>
      <c r="J43" s="53"/>
      <c r="K43" s="54"/>
    </row>
    <row r="44" spans="2:11" x14ac:dyDescent="0.3">
      <c r="B44" s="55"/>
      <c r="C44" s="56"/>
      <c r="D44" s="56"/>
      <c r="E44" s="56"/>
      <c r="F44" s="56"/>
      <c r="G44" s="56"/>
      <c r="H44" s="56"/>
      <c r="I44" s="56"/>
      <c r="J44" s="56"/>
      <c r="K44" s="57"/>
    </row>
    <row r="45" spans="2:11" x14ac:dyDescent="0.3">
      <c r="B45" s="58"/>
      <c r="C45" s="59"/>
      <c r="D45" s="59"/>
      <c r="E45" s="59"/>
      <c r="F45" s="59"/>
      <c r="G45" s="59"/>
      <c r="H45" s="59"/>
      <c r="I45" s="59"/>
      <c r="J45" s="59"/>
      <c r="K45" s="60"/>
    </row>
    <row r="46" spans="2:11" ht="15.6" x14ac:dyDescent="0.3">
      <c r="B46" s="61"/>
      <c r="C46" s="56"/>
      <c r="D46" s="56"/>
      <c r="E46" s="56"/>
      <c r="F46" s="56"/>
      <c r="G46" s="9"/>
      <c r="H46" s="62"/>
      <c r="I46" s="62"/>
      <c r="J46" s="56"/>
      <c r="K46" s="57"/>
    </row>
    <row r="47" spans="2:11" ht="15" thickBot="1" x14ac:dyDescent="0.35">
      <c r="B47" s="63" t="s">
        <v>29</v>
      </c>
      <c r="C47" s="64"/>
      <c r="D47" s="64"/>
      <c r="E47" s="64"/>
      <c r="F47" s="64"/>
      <c r="G47" s="65"/>
      <c r="H47" s="66" t="s">
        <v>30</v>
      </c>
      <c r="I47" s="66"/>
      <c r="J47" s="64"/>
      <c r="K47" s="67"/>
    </row>
  </sheetData>
  <mergeCells count="30">
    <mergeCell ref="C30:G30"/>
    <mergeCell ref="H31:I39"/>
    <mergeCell ref="B32:G32"/>
    <mergeCell ref="E35:G35"/>
    <mergeCell ref="E39:G39"/>
    <mergeCell ref="C29:G29"/>
    <mergeCell ref="C18:H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B11:E11"/>
    <mergeCell ref="B12:E12"/>
    <mergeCell ref="E15:F15"/>
    <mergeCell ref="G15:K15"/>
    <mergeCell ref="C16:D16"/>
    <mergeCell ref="E16:F16"/>
    <mergeCell ref="G16:K16"/>
    <mergeCell ref="B10:E10"/>
    <mergeCell ref="B2:K2"/>
    <mergeCell ref="B3:K3"/>
    <mergeCell ref="F5:G5"/>
    <mergeCell ref="C8:E8"/>
    <mergeCell ref="B9:E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8F10-7782-4D15-BE86-24E3C8F1A623}">
  <dimension ref="B1:K47"/>
  <sheetViews>
    <sheetView workbookViewId="0">
      <selection activeCell="G17" sqref="G17"/>
    </sheetView>
  </sheetViews>
  <sheetFormatPr defaultRowHeight="14.4" x14ac:dyDescent="0.3"/>
  <cols>
    <col min="7" max="7" width="16.33203125" customWidth="1"/>
    <col min="8" max="8" width="5.21875" customWidth="1"/>
    <col min="10" max="10" width="13.88671875" customWidth="1"/>
    <col min="11" max="11" width="20.6640625" customWidth="1"/>
  </cols>
  <sheetData>
    <row r="1" spans="2:11" ht="15" thickBot="1" x14ac:dyDescent="0.35"/>
    <row r="2" spans="2:11" ht="30.6" thickBot="1" x14ac:dyDescent="0.3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6"/>
    </row>
    <row r="3" spans="2:11" ht="15" thickBot="1" x14ac:dyDescent="0.35">
      <c r="B3" s="87" t="s">
        <v>1</v>
      </c>
      <c r="C3" s="88"/>
      <c r="D3" s="88"/>
      <c r="E3" s="88"/>
      <c r="F3" s="88"/>
      <c r="G3" s="88"/>
      <c r="H3" s="88"/>
      <c r="I3" s="88"/>
      <c r="J3" s="88"/>
      <c r="K3" s="89"/>
    </row>
    <row r="4" spans="2:11" x14ac:dyDescent="0.3">
      <c r="B4" s="2"/>
      <c r="C4" s="3"/>
      <c r="D4" s="3"/>
      <c r="E4" s="3"/>
      <c r="F4" s="4"/>
      <c r="G4" s="4"/>
      <c r="H4" s="3"/>
      <c r="I4" s="3"/>
      <c r="J4" s="3"/>
      <c r="K4" s="5"/>
    </row>
    <row r="5" spans="2:11" ht="22.8" x14ac:dyDescent="0.4">
      <c r="B5" s="12"/>
      <c r="C5" s="13"/>
      <c r="D5" s="13"/>
      <c r="E5" s="8"/>
      <c r="F5" s="90" t="s">
        <v>2</v>
      </c>
      <c r="G5" s="91"/>
      <c r="H5" s="9"/>
      <c r="I5" s="9"/>
      <c r="J5" s="9"/>
      <c r="K5" s="10"/>
    </row>
    <row r="6" spans="2:11" x14ac:dyDescent="0.3">
      <c r="B6" s="12"/>
      <c r="C6" s="13"/>
      <c r="D6" s="13"/>
      <c r="E6" s="8"/>
      <c r="F6" s="9"/>
      <c r="G6" s="9"/>
      <c r="H6" s="9"/>
      <c r="I6" s="9"/>
      <c r="J6" s="9"/>
      <c r="K6" s="10"/>
    </row>
    <row r="7" spans="2:11" x14ac:dyDescent="0.3">
      <c r="B7" s="12"/>
      <c r="C7" s="13"/>
      <c r="D7" s="13"/>
      <c r="E7" s="8"/>
      <c r="F7" s="9"/>
      <c r="G7" s="9"/>
      <c r="H7" s="9"/>
      <c r="I7" s="9"/>
      <c r="J7" s="9"/>
      <c r="K7" s="10"/>
    </row>
    <row r="8" spans="2:11" x14ac:dyDescent="0.3">
      <c r="B8" s="11" t="s">
        <v>3</v>
      </c>
      <c r="C8" s="92"/>
      <c r="D8" s="92"/>
      <c r="E8" s="93"/>
      <c r="F8" s="9"/>
      <c r="G8" s="9"/>
      <c r="H8" s="9"/>
      <c r="I8" s="9"/>
      <c r="J8" s="9"/>
      <c r="K8" s="10"/>
    </row>
    <row r="9" spans="2:11" x14ac:dyDescent="0.3">
      <c r="B9" s="81"/>
      <c r="C9" s="82"/>
      <c r="D9" s="82"/>
      <c r="E9" s="83"/>
      <c r="F9" s="9"/>
      <c r="G9" s="9"/>
      <c r="H9" s="9"/>
      <c r="I9" s="9"/>
      <c r="J9" s="9"/>
      <c r="K9" s="10"/>
    </row>
    <row r="10" spans="2:11" x14ac:dyDescent="0.3">
      <c r="B10" s="81" t="s">
        <v>64</v>
      </c>
      <c r="C10" s="82"/>
      <c r="D10" s="82"/>
      <c r="E10" s="83"/>
      <c r="F10" s="9"/>
      <c r="G10" s="9"/>
      <c r="H10" s="9"/>
      <c r="I10" s="9"/>
      <c r="J10" s="9"/>
      <c r="K10" s="10"/>
    </row>
    <row r="11" spans="2:11" x14ac:dyDescent="0.3">
      <c r="B11" s="81" t="s">
        <v>65</v>
      </c>
      <c r="C11" s="82"/>
      <c r="D11" s="82"/>
      <c r="E11" s="83"/>
      <c r="F11" s="9"/>
      <c r="G11" s="9"/>
      <c r="H11" s="9"/>
      <c r="I11" s="9"/>
      <c r="J11" s="9"/>
      <c r="K11" s="10"/>
    </row>
    <row r="12" spans="2:11" x14ac:dyDescent="0.3">
      <c r="B12" s="94"/>
      <c r="C12" s="95"/>
      <c r="D12" s="95"/>
      <c r="E12" s="96"/>
      <c r="F12" s="9"/>
      <c r="G12" s="9"/>
      <c r="H12" s="9"/>
      <c r="I12" s="9"/>
      <c r="J12" s="9"/>
      <c r="K12" s="10"/>
    </row>
    <row r="13" spans="2:11" x14ac:dyDescent="0.3">
      <c r="B13" s="12"/>
      <c r="C13" s="13"/>
      <c r="D13" s="13"/>
      <c r="E13" s="8"/>
      <c r="F13" s="9"/>
      <c r="G13" s="9"/>
      <c r="H13" s="9"/>
      <c r="I13" s="9"/>
      <c r="J13" s="9"/>
      <c r="K13" s="10"/>
    </row>
    <row r="14" spans="2:11" x14ac:dyDescent="0.3">
      <c r="B14" s="14"/>
      <c r="C14" s="9"/>
      <c r="D14" s="9"/>
      <c r="E14" s="9"/>
      <c r="F14" s="9"/>
      <c r="G14" s="9"/>
      <c r="H14" s="9"/>
      <c r="I14" s="9"/>
      <c r="J14" s="9"/>
      <c r="K14" s="10"/>
    </row>
    <row r="15" spans="2:11" x14ac:dyDescent="0.3">
      <c r="B15" s="68" t="s">
        <v>5</v>
      </c>
      <c r="C15" s="69" t="s">
        <v>6</v>
      </c>
      <c r="D15" s="70"/>
      <c r="E15" s="97"/>
      <c r="F15" s="98"/>
      <c r="G15" s="99" t="s">
        <v>7</v>
      </c>
      <c r="H15" s="100"/>
      <c r="I15" s="100"/>
      <c r="J15" s="100"/>
      <c r="K15" s="101"/>
    </row>
    <row r="16" spans="2:11" x14ac:dyDescent="0.3">
      <c r="B16" s="16" t="s">
        <v>66</v>
      </c>
      <c r="C16" s="102">
        <v>46240</v>
      </c>
      <c r="D16" s="103"/>
      <c r="E16" s="104"/>
      <c r="F16" s="105"/>
      <c r="G16" s="106" t="s">
        <v>8</v>
      </c>
      <c r="H16" s="107"/>
      <c r="I16" s="107"/>
      <c r="J16" s="107"/>
      <c r="K16" s="108"/>
    </row>
    <row r="17" spans="2:11" x14ac:dyDescent="0.3">
      <c r="B17" s="14"/>
      <c r="C17" s="9"/>
      <c r="D17" s="9"/>
      <c r="E17" s="9"/>
      <c r="F17" s="9"/>
      <c r="G17" s="9"/>
      <c r="H17" s="9"/>
      <c r="I17" s="9"/>
      <c r="J17" s="9"/>
      <c r="K17" s="10"/>
    </row>
    <row r="18" spans="2:11" x14ac:dyDescent="0.3">
      <c r="B18" s="71" t="s">
        <v>9</v>
      </c>
      <c r="C18" s="111" t="s">
        <v>10</v>
      </c>
      <c r="D18" s="112"/>
      <c r="E18" s="112"/>
      <c r="F18" s="112"/>
      <c r="G18" s="112"/>
      <c r="H18" s="113"/>
      <c r="I18" s="72" t="s">
        <v>11</v>
      </c>
      <c r="J18" s="73" t="s">
        <v>12</v>
      </c>
      <c r="K18" s="74" t="s">
        <v>13</v>
      </c>
    </row>
    <row r="19" spans="2:11" x14ac:dyDescent="0.3">
      <c r="B19" s="18" t="str">
        <f>IF(C19="","","1")</f>
        <v>1</v>
      </c>
      <c r="C19" s="109" t="s">
        <v>67</v>
      </c>
      <c r="D19" s="110"/>
      <c r="E19" s="110"/>
      <c r="F19" s="110"/>
      <c r="G19" s="110"/>
      <c r="H19" s="19"/>
      <c r="I19" s="20">
        <v>1</v>
      </c>
      <c r="J19" s="21">
        <v>450</v>
      </c>
      <c r="K19" s="22">
        <f>IF(J19,J19*I19,"")</f>
        <v>450</v>
      </c>
    </row>
    <row r="20" spans="2:11" x14ac:dyDescent="0.3">
      <c r="B20" s="18" t="str">
        <f>IF(C20="","","2")</f>
        <v/>
      </c>
      <c r="C20" s="109"/>
      <c r="D20" s="110"/>
      <c r="E20" s="110"/>
      <c r="F20" s="110"/>
      <c r="G20" s="110"/>
      <c r="H20" s="19"/>
      <c r="I20" s="20"/>
      <c r="J20" s="21"/>
      <c r="K20" s="22" t="str">
        <f t="shared" ref="K20:K29" si="0">IF(J20,J20*I20,"")</f>
        <v/>
      </c>
    </row>
    <row r="21" spans="2:11" x14ac:dyDescent="0.3">
      <c r="B21" s="18" t="str">
        <f>IF(C21="","","3")</f>
        <v/>
      </c>
      <c r="C21" s="109"/>
      <c r="D21" s="110"/>
      <c r="E21" s="110"/>
      <c r="F21" s="110"/>
      <c r="G21" s="110"/>
      <c r="H21" s="19"/>
      <c r="I21" s="20"/>
      <c r="J21" s="21"/>
      <c r="K21" s="22" t="str">
        <f t="shared" si="0"/>
        <v/>
      </c>
    </row>
    <row r="22" spans="2:11" x14ac:dyDescent="0.3">
      <c r="B22" s="18" t="str">
        <f>IF(C21="","","4")</f>
        <v/>
      </c>
      <c r="C22" s="109"/>
      <c r="D22" s="110"/>
      <c r="E22" s="110"/>
      <c r="F22" s="110"/>
      <c r="G22" s="110"/>
      <c r="H22" s="19"/>
      <c r="I22" s="20"/>
      <c r="J22" s="21"/>
      <c r="K22" s="22" t="str">
        <f t="shared" si="0"/>
        <v/>
      </c>
    </row>
    <row r="23" spans="2:11" x14ac:dyDescent="0.3">
      <c r="B23" s="18" t="str">
        <f>IF(C23="","","5")</f>
        <v/>
      </c>
      <c r="C23" s="109"/>
      <c r="D23" s="110"/>
      <c r="E23" s="110"/>
      <c r="F23" s="110"/>
      <c r="G23" s="110"/>
      <c r="H23" s="19"/>
      <c r="I23" s="20"/>
      <c r="J23" s="21"/>
      <c r="K23" s="22" t="str">
        <f t="shared" si="0"/>
        <v/>
      </c>
    </row>
    <row r="24" spans="2:11" x14ac:dyDescent="0.3">
      <c r="B24" s="18" t="str">
        <f>IF(C24="","","6")</f>
        <v/>
      </c>
      <c r="C24" s="109"/>
      <c r="D24" s="110"/>
      <c r="E24" s="110"/>
      <c r="F24" s="110"/>
      <c r="G24" s="110"/>
      <c r="H24" s="19"/>
      <c r="I24" s="20"/>
      <c r="J24" s="21"/>
      <c r="K24" s="22" t="str">
        <f t="shared" si="0"/>
        <v/>
      </c>
    </row>
    <row r="25" spans="2:11" x14ac:dyDescent="0.3">
      <c r="B25" s="18" t="str">
        <f>IF(C25="","","7")</f>
        <v/>
      </c>
      <c r="C25" s="109"/>
      <c r="D25" s="110"/>
      <c r="E25" s="110"/>
      <c r="F25" s="110"/>
      <c r="G25" s="110"/>
      <c r="H25" s="19"/>
      <c r="I25" s="20"/>
      <c r="J25" s="21"/>
      <c r="K25" s="22" t="str">
        <f t="shared" si="0"/>
        <v/>
      </c>
    </row>
    <row r="26" spans="2:11" x14ac:dyDescent="0.3">
      <c r="B26" s="18"/>
      <c r="C26" s="109"/>
      <c r="D26" s="110"/>
      <c r="E26" s="110"/>
      <c r="F26" s="110"/>
      <c r="G26" s="110"/>
      <c r="H26" s="19"/>
      <c r="I26" s="20"/>
      <c r="J26" s="21"/>
      <c r="K26" s="22" t="str">
        <f t="shared" si="0"/>
        <v/>
      </c>
    </row>
    <row r="27" spans="2:11" x14ac:dyDescent="0.3">
      <c r="B27" s="18"/>
      <c r="C27" s="109"/>
      <c r="D27" s="110"/>
      <c r="E27" s="110"/>
      <c r="F27" s="110"/>
      <c r="G27" s="110"/>
      <c r="H27" s="19"/>
      <c r="I27" s="20"/>
      <c r="J27" s="21"/>
      <c r="K27" s="22" t="str">
        <f t="shared" si="0"/>
        <v/>
      </c>
    </row>
    <row r="28" spans="2:11" x14ac:dyDescent="0.3">
      <c r="B28" s="18"/>
      <c r="C28" s="109"/>
      <c r="D28" s="110"/>
      <c r="E28" s="110"/>
      <c r="F28" s="110"/>
      <c r="G28" s="110"/>
      <c r="H28" s="19"/>
      <c r="I28" s="23"/>
      <c r="J28" s="21"/>
      <c r="K28" s="22" t="str">
        <f t="shared" si="0"/>
        <v/>
      </c>
    </row>
    <row r="29" spans="2:11" x14ac:dyDescent="0.3">
      <c r="B29" s="18"/>
      <c r="C29" s="109"/>
      <c r="D29" s="110"/>
      <c r="E29" s="110"/>
      <c r="F29" s="110"/>
      <c r="G29" s="110"/>
      <c r="H29" s="19"/>
      <c r="I29" s="23"/>
      <c r="J29" s="21"/>
      <c r="K29" s="22" t="str">
        <f t="shared" si="0"/>
        <v/>
      </c>
    </row>
    <row r="30" spans="2:11" ht="15" thickBot="1" x14ac:dyDescent="0.35">
      <c r="B30" s="24"/>
      <c r="C30" s="114" t="s">
        <v>16</v>
      </c>
      <c r="D30" s="115"/>
      <c r="E30" s="115"/>
      <c r="F30" s="115"/>
      <c r="G30" s="115"/>
      <c r="H30" s="25"/>
      <c r="I30" s="26">
        <f ca="1">SUM(I19:K65)</f>
        <v>0</v>
      </c>
      <c r="J30" s="27"/>
      <c r="K30" s="28">
        <f>SUM(K19:K29)</f>
        <v>450</v>
      </c>
    </row>
    <row r="31" spans="2:11" x14ac:dyDescent="0.3">
      <c r="B31" s="30" t="s">
        <v>17</v>
      </c>
      <c r="C31" s="31"/>
      <c r="D31" s="31"/>
      <c r="E31" s="31"/>
      <c r="F31" s="31"/>
      <c r="G31" s="32"/>
      <c r="H31" s="116"/>
      <c r="I31" s="117"/>
      <c r="J31" s="33" t="s">
        <v>18</v>
      </c>
      <c r="K31" s="34"/>
    </row>
    <row r="32" spans="2:11" x14ac:dyDescent="0.3">
      <c r="B32" s="122" t="s">
        <v>68</v>
      </c>
      <c r="C32" s="123"/>
      <c r="D32" s="123"/>
      <c r="E32" s="123"/>
      <c r="F32" s="123"/>
      <c r="G32" s="124"/>
      <c r="H32" s="118"/>
      <c r="I32" s="119"/>
      <c r="J32" s="35" t="s">
        <v>20</v>
      </c>
      <c r="K32" s="34"/>
    </row>
    <row r="33" spans="2:11" x14ac:dyDescent="0.3">
      <c r="B33" s="36" t="s">
        <v>21</v>
      </c>
      <c r="C33" s="37"/>
      <c r="D33" s="37"/>
      <c r="E33" s="37"/>
      <c r="F33" s="37"/>
      <c r="G33" s="38"/>
      <c r="H33" s="118"/>
      <c r="I33" s="119"/>
      <c r="J33" s="35" t="s">
        <v>22</v>
      </c>
      <c r="K33" s="34"/>
    </row>
    <row r="34" spans="2:11" x14ac:dyDescent="0.3">
      <c r="B34" s="39" t="s">
        <v>23</v>
      </c>
      <c r="C34" s="37"/>
      <c r="D34" s="37"/>
      <c r="E34" s="37"/>
      <c r="F34" s="37"/>
      <c r="G34" s="38"/>
      <c r="H34" s="118"/>
      <c r="I34" s="119"/>
      <c r="J34" s="40" t="s">
        <v>24</v>
      </c>
      <c r="K34" s="41">
        <f>SUM(K30:K33)</f>
        <v>450</v>
      </c>
    </row>
    <row r="35" spans="2:11" x14ac:dyDescent="0.3">
      <c r="B35" s="39" t="s">
        <v>25</v>
      </c>
      <c r="C35" s="37"/>
      <c r="D35" s="37"/>
      <c r="E35" s="125" t="s">
        <v>26</v>
      </c>
      <c r="F35" s="125"/>
      <c r="G35" s="126"/>
      <c r="H35" s="118"/>
      <c r="I35" s="119"/>
      <c r="J35" s="42"/>
      <c r="K35" s="43"/>
    </row>
    <row r="36" spans="2:11" x14ac:dyDescent="0.3">
      <c r="B36" s="39" t="s">
        <v>27</v>
      </c>
      <c r="C36" s="37"/>
      <c r="D36" s="37"/>
      <c r="E36" s="37"/>
      <c r="F36" s="37"/>
      <c r="G36" s="38"/>
      <c r="H36" s="118"/>
      <c r="I36" s="119"/>
      <c r="J36" s="42"/>
      <c r="K36" s="43"/>
    </row>
    <row r="37" spans="2:11" x14ac:dyDescent="0.3">
      <c r="B37" s="39" t="s">
        <v>28</v>
      </c>
      <c r="C37" s="37"/>
      <c r="D37" s="37"/>
      <c r="E37" s="37"/>
      <c r="F37" s="37"/>
      <c r="G37" s="38"/>
      <c r="H37" s="118"/>
      <c r="I37" s="119"/>
      <c r="J37" s="44"/>
      <c r="K37" s="45"/>
    </row>
    <row r="38" spans="2:11" x14ac:dyDescent="0.3">
      <c r="B38" s="46"/>
      <c r="C38" s="47"/>
      <c r="D38" s="47"/>
      <c r="E38" s="47"/>
      <c r="F38" s="47"/>
      <c r="G38" s="48"/>
      <c r="H38" s="118"/>
      <c r="I38" s="119"/>
      <c r="J38" s="49"/>
      <c r="K38" s="50"/>
    </row>
    <row r="39" spans="2:11" x14ac:dyDescent="0.3">
      <c r="B39" s="14"/>
      <c r="C39" s="9"/>
      <c r="D39" s="9"/>
      <c r="E39" s="92"/>
      <c r="F39" s="92"/>
      <c r="G39" s="93"/>
      <c r="H39" s="120"/>
      <c r="I39" s="121"/>
      <c r="J39" s="51"/>
      <c r="K39" s="52"/>
    </row>
    <row r="40" spans="2:11" x14ac:dyDescent="0.3">
      <c r="B40" s="14"/>
      <c r="C40" s="9"/>
      <c r="D40" s="9"/>
      <c r="E40" s="9"/>
      <c r="F40" s="9"/>
      <c r="G40" s="9"/>
      <c r="H40" s="9"/>
      <c r="I40" s="9"/>
      <c r="J40" s="9"/>
      <c r="K40" s="10"/>
    </row>
    <row r="41" spans="2:11" x14ac:dyDescent="0.3">
      <c r="B41" s="12"/>
      <c r="C41" s="53"/>
      <c r="D41" s="53"/>
      <c r="E41" s="53"/>
      <c r="F41" s="53"/>
      <c r="G41" s="53"/>
      <c r="H41" s="53"/>
      <c r="I41" s="53"/>
      <c r="J41" s="53"/>
      <c r="K41" s="54"/>
    </row>
    <row r="42" spans="2:11" x14ac:dyDescent="0.3">
      <c r="B42" s="12"/>
      <c r="C42" s="53"/>
      <c r="D42" s="53"/>
      <c r="E42" s="53"/>
      <c r="F42" s="53"/>
      <c r="G42" s="53"/>
      <c r="H42" s="53"/>
      <c r="I42" s="53"/>
      <c r="J42" s="53"/>
      <c r="K42" s="54"/>
    </row>
    <row r="43" spans="2:11" x14ac:dyDescent="0.3">
      <c r="B43" s="12"/>
      <c r="C43" s="53"/>
      <c r="D43" s="53"/>
      <c r="E43" s="53"/>
      <c r="F43" s="53"/>
      <c r="G43" s="53"/>
      <c r="H43" s="53"/>
      <c r="I43" s="53"/>
      <c r="J43" s="53"/>
      <c r="K43" s="54"/>
    </row>
    <row r="44" spans="2:11" x14ac:dyDescent="0.3">
      <c r="B44" s="55"/>
      <c r="C44" s="56"/>
      <c r="D44" s="56"/>
      <c r="E44" s="56"/>
      <c r="F44" s="56"/>
      <c r="G44" s="56"/>
      <c r="H44" s="56"/>
      <c r="I44" s="56"/>
      <c r="J44" s="56"/>
      <c r="K44" s="57"/>
    </row>
    <row r="45" spans="2:11" x14ac:dyDescent="0.3">
      <c r="B45" s="58"/>
      <c r="C45" s="59"/>
      <c r="D45" s="59"/>
      <c r="E45" s="59"/>
      <c r="F45" s="59"/>
      <c r="G45" s="59"/>
      <c r="H45" s="59"/>
      <c r="I45" s="59"/>
      <c r="J45" s="59"/>
      <c r="K45" s="60"/>
    </row>
    <row r="46" spans="2:11" ht="15.6" x14ac:dyDescent="0.3">
      <c r="B46" s="61"/>
      <c r="C46" s="56"/>
      <c r="D46" s="56"/>
      <c r="E46" s="56"/>
      <c r="F46" s="56"/>
      <c r="G46" s="9"/>
      <c r="H46" s="62"/>
      <c r="I46" s="62"/>
      <c r="J46" s="56"/>
      <c r="K46" s="57"/>
    </row>
    <row r="47" spans="2:11" ht="15" thickBot="1" x14ac:dyDescent="0.35">
      <c r="B47" s="63" t="s">
        <v>29</v>
      </c>
      <c r="C47" s="64"/>
      <c r="D47" s="64"/>
      <c r="E47" s="64"/>
      <c r="F47" s="64"/>
      <c r="G47" s="65"/>
      <c r="H47" s="66" t="s">
        <v>30</v>
      </c>
      <c r="I47" s="66"/>
      <c r="J47" s="64"/>
      <c r="K47" s="67"/>
    </row>
  </sheetData>
  <mergeCells count="30">
    <mergeCell ref="C30:G30"/>
    <mergeCell ref="H31:I39"/>
    <mergeCell ref="B32:G32"/>
    <mergeCell ref="E35:G35"/>
    <mergeCell ref="E39:G39"/>
    <mergeCell ref="C29:G29"/>
    <mergeCell ref="C18:H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B11:E11"/>
    <mergeCell ref="B12:E12"/>
    <mergeCell ref="E15:F15"/>
    <mergeCell ref="G15:K15"/>
    <mergeCell ref="C16:D16"/>
    <mergeCell ref="E16:F16"/>
    <mergeCell ref="G16:K16"/>
    <mergeCell ref="B10:E10"/>
    <mergeCell ref="B2:K2"/>
    <mergeCell ref="B3:K3"/>
    <mergeCell ref="F5:G5"/>
    <mergeCell ref="C8:E8"/>
    <mergeCell ref="B9:E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649C-7F37-4068-9DE1-884201313113}">
  <dimension ref="A1:F26"/>
  <sheetViews>
    <sheetView workbookViewId="0">
      <selection activeCell="J23" sqref="J23"/>
    </sheetView>
  </sheetViews>
  <sheetFormatPr defaultRowHeight="14.4" x14ac:dyDescent="0.3"/>
  <cols>
    <col min="1" max="1" width="57.6640625" bestFit="1" customWidth="1"/>
  </cols>
  <sheetData>
    <row r="1" spans="1:6" x14ac:dyDescent="0.3">
      <c r="A1" s="75" t="s">
        <v>31</v>
      </c>
      <c r="B1" s="75" t="s">
        <v>32</v>
      </c>
      <c r="C1" s="75" t="s">
        <v>33</v>
      </c>
      <c r="D1" s="75"/>
      <c r="E1" s="75"/>
      <c r="F1" s="75"/>
    </row>
    <row r="2" spans="1:6" x14ac:dyDescent="0.3">
      <c r="A2" s="76" t="s">
        <v>44</v>
      </c>
      <c r="B2" s="76" t="s">
        <v>54</v>
      </c>
      <c r="C2" s="76">
        <v>1600</v>
      </c>
      <c r="D2" s="76"/>
      <c r="E2" s="76"/>
      <c r="F2" s="75"/>
    </row>
    <row r="3" spans="1:6" x14ac:dyDescent="0.3">
      <c r="A3" s="76" t="s">
        <v>45</v>
      </c>
      <c r="B3" s="76" t="s">
        <v>54</v>
      </c>
      <c r="C3" s="76"/>
      <c r="D3" s="76"/>
      <c r="E3" s="76"/>
      <c r="F3" s="75"/>
    </row>
    <row r="4" spans="1:6" x14ac:dyDescent="0.3">
      <c r="A4" s="76" t="s">
        <v>34</v>
      </c>
      <c r="B4" s="76" t="s">
        <v>54</v>
      </c>
      <c r="C4" s="76"/>
      <c r="D4" s="76"/>
      <c r="E4" s="76"/>
      <c r="F4" s="76"/>
    </row>
    <row r="5" spans="1:6" x14ac:dyDescent="0.3">
      <c r="A5" s="76" t="s">
        <v>46</v>
      </c>
      <c r="B5" s="76" t="s">
        <v>54</v>
      </c>
      <c r="C5" s="76"/>
      <c r="D5" s="76"/>
      <c r="E5" s="76"/>
      <c r="F5" s="76"/>
    </row>
    <row r="6" spans="1:6" x14ac:dyDescent="0.3">
      <c r="A6" s="76" t="s">
        <v>47</v>
      </c>
      <c r="B6" s="76" t="s">
        <v>54</v>
      </c>
      <c r="C6" s="76"/>
      <c r="D6" s="76"/>
      <c r="E6" s="76"/>
      <c r="F6" s="76"/>
    </row>
    <row r="7" spans="1:6" x14ac:dyDescent="0.3">
      <c r="A7" s="76" t="s">
        <v>48</v>
      </c>
      <c r="B7" s="76" t="s">
        <v>54</v>
      </c>
      <c r="C7" s="76"/>
      <c r="D7" s="76"/>
      <c r="E7" s="76"/>
      <c r="F7" s="76"/>
    </row>
    <row r="8" spans="1:6" x14ac:dyDescent="0.3">
      <c r="A8" s="76" t="s">
        <v>34</v>
      </c>
      <c r="B8" s="76" t="s">
        <v>54</v>
      </c>
      <c r="C8" s="76"/>
      <c r="D8" s="76"/>
      <c r="E8" s="76"/>
      <c r="F8" s="76"/>
    </row>
    <row r="9" spans="1:6" x14ac:dyDescent="0.3">
      <c r="A9" s="76" t="s">
        <v>46</v>
      </c>
      <c r="B9" s="76" t="s">
        <v>54</v>
      </c>
      <c r="C9" s="76"/>
      <c r="D9" s="76"/>
      <c r="E9" s="76"/>
      <c r="F9" s="76"/>
    </row>
    <row r="10" spans="1:6" x14ac:dyDescent="0.3">
      <c r="A10" s="76" t="s">
        <v>47</v>
      </c>
      <c r="B10" s="76" t="s">
        <v>54</v>
      </c>
      <c r="C10" s="76"/>
      <c r="D10" s="76"/>
      <c r="E10" s="76"/>
      <c r="F10" s="76"/>
    </row>
    <row r="11" spans="1:6" x14ac:dyDescent="0.3">
      <c r="A11" s="76" t="s">
        <v>35</v>
      </c>
      <c r="B11" s="76" t="s">
        <v>54</v>
      </c>
      <c r="C11" s="76"/>
      <c r="D11" s="76"/>
      <c r="E11" s="76"/>
      <c r="F11" s="76"/>
    </row>
    <row r="12" spans="1:6" x14ac:dyDescent="0.3">
      <c r="A12" s="76" t="s">
        <v>43</v>
      </c>
      <c r="B12" s="76" t="s">
        <v>54</v>
      </c>
      <c r="C12" s="76"/>
      <c r="D12" s="76"/>
      <c r="E12" s="76"/>
      <c r="F12" s="76"/>
    </row>
    <row r="13" spans="1:6" x14ac:dyDescent="0.3">
      <c r="A13" s="76" t="s">
        <v>49</v>
      </c>
      <c r="B13" s="76" t="s">
        <v>54</v>
      </c>
      <c r="C13" s="76"/>
      <c r="D13" s="76"/>
      <c r="E13" s="76"/>
      <c r="F13" s="76"/>
    </row>
    <row r="14" spans="1:6" x14ac:dyDescent="0.3">
      <c r="A14" s="76" t="s">
        <v>36</v>
      </c>
      <c r="B14" s="76" t="s">
        <v>54</v>
      </c>
      <c r="C14" s="76"/>
      <c r="D14" s="76"/>
      <c r="E14" s="76"/>
      <c r="F14" s="76"/>
    </row>
    <row r="15" spans="1:6" x14ac:dyDescent="0.3">
      <c r="A15" s="76" t="s">
        <v>37</v>
      </c>
      <c r="B15" s="76" t="s">
        <v>54</v>
      </c>
      <c r="C15" s="76"/>
      <c r="D15" s="76"/>
      <c r="E15" s="76"/>
      <c r="F15" s="76"/>
    </row>
    <row r="16" spans="1:6" x14ac:dyDescent="0.3">
      <c r="A16" s="76" t="s">
        <v>38</v>
      </c>
      <c r="B16" s="76" t="s">
        <v>54</v>
      </c>
      <c r="C16" s="76"/>
      <c r="D16" s="76"/>
      <c r="E16" s="76"/>
      <c r="F16" s="76"/>
    </row>
    <row r="17" spans="1:6" x14ac:dyDescent="0.3">
      <c r="A17" s="76" t="s">
        <v>50</v>
      </c>
      <c r="B17" s="76" t="s">
        <v>54</v>
      </c>
      <c r="C17" s="76"/>
      <c r="D17" s="76"/>
      <c r="E17" s="76"/>
      <c r="F17" s="76"/>
    </row>
    <row r="18" spans="1:6" x14ac:dyDescent="0.3">
      <c r="A18" s="76" t="s">
        <v>51</v>
      </c>
      <c r="B18" s="76" t="s">
        <v>54</v>
      </c>
      <c r="C18" s="76"/>
      <c r="D18" s="76"/>
      <c r="E18" s="76"/>
      <c r="F18" s="76"/>
    </row>
    <row r="19" spans="1:6" x14ac:dyDescent="0.3">
      <c r="A19" s="76" t="s">
        <v>52</v>
      </c>
      <c r="B19" s="76" t="s">
        <v>54</v>
      </c>
      <c r="C19" s="76"/>
      <c r="D19" s="76"/>
      <c r="E19" s="76"/>
      <c r="F19" s="76"/>
    </row>
    <row r="20" spans="1:6" x14ac:dyDescent="0.3">
      <c r="A20" s="76" t="s">
        <v>53</v>
      </c>
      <c r="B20" s="76" t="s">
        <v>54</v>
      </c>
      <c r="C20" s="76"/>
      <c r="D20" s="76"/>
      <c r="E20" s="76"/>
      <c r="F20" s="76"/>
    </row>
    <row r="21" spans="1:6" x14ac:dyDescent="0.3">
      <c r="A21" s="76" t="s">
        <v>39</v>
      </c>
      <c r="B21" s="76" t="s">
        <v>54</v>
      </c>
      <c r="C21" s="76"/>
      <c r="D21" s="76"/>
      <c r="E21" s="76"/>
      <c r="F21" s="76"/>
    </row>
    <row r="22" spans="1:6" x14ac:dyDescent="0.3">
      <c r="A22" s="76" t="s">
        <v>40</v>
      </c>
      <c r="B22" s="76" t="s">
        <v>54</v>
      </c>
      <c r="C22" s="76"/>
      <c r="D22" s="76"/>
      <c r="E22" s="76"/>
      <c r="F22" s="76"/>
    </row>
    <row r="23" spans="1:6" x14ac:dyDescent="0.3">
      <c r="A23" s="76" t="s">
        <v>41</v>
      </c>
      <c r="B23" s="76" t="s">
        <v>54</v>
      </c>
      <c r="C23" s="76"/>
      <c r="D23" s="76"/>
      <c r="E23" s="76"/>
      <c r="F23" s="76"/>
    </row>
    <row r="24" spans="1:6" x14ac:dyDescent="0.3">
      <c r="A24" s="76" t="s">
        <v>44</v>
      </c>
      <c r="B24" s="76" t="s">
        <v>54</v>
      </c>
      <c r="C24" s="76"/>
      <c r="D24" s="76"/>
      <c r="E24" s="76"/>
      <c r="F24" s="75"/>
    </row>
    <row r="25" spans="1:6" x14ac:dyDescent="0.3">
      <c r="A25" s="76" t="s">
        <v>45</v>
      </c>
      <c r="B25" s="76" t="s">
        <v>54</v>
      </c>
      <c r="C25" s="76"/>
      <c r="D25" s="76"/>
      <c r="E25" s="76"/>
      <c r="F25" s="75"/>
    </row>
    <row r="26" spans="1:6" x14ac:dyDescent="0.3">
      <c r="A26" s="76" t="s">
        <v>42</v>
      </c>
      <c r="B26" s="76" t="s">
        <v>54</v>
      </c>
      <c r="C26" s="76"/>
      <c r="D26" s="76"/>
      <c r="E26" s="76"/>
      <c r="F26" s="7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45B5-94E1-4397-8969-3FE096305A64}">
  <dimension ref="B1:K47"/>
  <sheetViews>
    <sheetView topLeftCell="A21" workbookViewId="0">
      <selection activeCell="B2" sqref="B2:K47"/>
    </sheetView>
  </sheetViews>
  <sheetFormatPr defaultRowHeight="14.4" x14ac:dyDescent="0.3"/>
  <cols>
    <col min="5" max="5" width="14.21875" customWidth="1"/>
    <col min="7" max="7" width="14.109375" customWidth="1"/>
    <col min="9" max="9" width="6.33203125" bestFit="1" customWidth="1"/>
    <col min="10" max="10" width="11.6640625" customWidth="1"/>
    <col min="11" max="11" width="23" customWidth="1"/>
  </cols>
  <sheetData>
    <row r="1" spans="2:11" ht="15" thickBot="1" x14ac:dyDescent="0.35">
      <c r="B1" s="1"/>
    </row>
    <row r="2" spans="2:11" ht="30.6" thickBot="1" x14ac:dyDescent="0.35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6"/>
    </row>
    <row r="3" spans="2:11" ht="15" thickBot="1" x14ac:dyDescent="0.35">
      <c r="B3" s="87" t="s">
        <v>1</v>
      </c>
      <c r="C3" s="88"/>
      <c r="D3" s="88"/>
      <c r="E3" s="88"/>
      <c r="F3" s="88"/>
      <c r="G3" s="88"/>
      <c r="H3" s="88"/>
      <c r="I3" s="88"/>
      <c r="J3" s="88"/>
      <c r="K3" s="89"/>
    </row>
    <row r="4" spans="2:11" x14ac:dyDescent="0.3">
      <c r="B4" s="2"/>
      <c r="C4" s="3"/>
      <c r="D4" s="3"/>
      <c r="E4" s="3"/>
      <c r="F4" s="4"/>
      <c r="G4" s="4"/>
      <c r="H4" s="3"/>
      <c r="I4" s="3"/>
      <c r="J4" s="3"/>
      <c r="K4" s="5"/>
    </row>
    <row r="5" spans="2:11" ht="22.8" x14ac:dyDescent="0.4">
      <c r="B5" s="12"/>
      <c r="C5" s="13"/>
      <c r="D5" s="13"/>
      <c r="E5" s="8"/>
      <c r="F5" s="127" t="s">
        <v>2</v>
      </c>
      <c r="G5" s="127"/>
      <c r="H5" s="9"/>
      <c r="I5" s="9"/>
      <c r="J5" s="9"/>
      <c r="K5" s="10"/>
    </row>
    <row r="6" spans="2:11" x14ac:dyDescent="0.3">
      <c r="B6" s="12"/>
      <c r="C6" s="13"/>
      <c r="D6" s="13"/>
      <c r="E6" s="8"/>
      <c r="F6" s="9"/>
      <c r="G6" s="9"/>
      <c r="H6" s="9"/>
      <c r="I6" s="9"/>
      <c r="J6" s="9"/>
      <c r="K6" s="10"/>
    </row>
    <row r="7" spans="2:11" x14ac:dyDescent="0.3">
      <c r="B7" s="12"/>
      <c r="C7" s="13"/>
      <c r="D7" s="13"/>
      <c r="E7" s="8"/>
      <c r="F7" s="9"/>
      <c r="G7" s="9"/>
      <c r="H7" s="9"/>
      <c r="I7" s="9"/>
      <c r="J7" s="9"/>
      <c r="K7" s="10"/>
    </row>
    <row r="8" spans="2:11" x14ac:dyDescent="0.3">
      <c r="B8" s="11" t="s">
        <v>3</v>
      </c>
      <c r="C8" s="92"/>
      <c r="D8" s="92"/>
      <c r="E8" s="93"/>
      <c r="F8" s="9"/>
      <c r="G8" s="9"/>
      <c r="H8" s="9"/>
      <c r="I8" s="9"/>
      <c r="J8" s="9"/>
      <c r="K8" s="10"/>
    </row>
    <row r="9" spans="2:11" x14ac:dyDescent="0.3">
      <c r="B9" s="81"/>
      <c r="C9" s="82"/>
      <c r="D9" s="82"/>
      <c r="E9" s="83"/>
      <c r="F9" s="9"/>
      <c r="G9" s="9"/>
      <c r="H9" s="9"/>
      <c r="I9" s="9"/>
      <c r="J9" s="9"/>
      <c r="K9" s="10"/>
    </row>
    <row r="10" spans="2:11" x14ac:dyDescent="0.3">
      <c r="B10" s="81" t="s">
        <v>55</v>
      </c>
      <c r="C10" s="82"/>
      <c r="D10" s="82"/>
      <c r="E10" s="83"/>
      <c r="F10" s="9"/>
      <c r="G10" s="9"/>
      <c r="H10" s="9"/>
      <c r="I10" s="9"/>
      <c r="J10" s="9"/>
      <c r="K10" s="10"/>
    </row>
    <row r="11" spans="2:11" x14ac:dyDescent="0.3">
      <c r="B11" s="81" t="s">
        <v>56</v>
      </c>
      <c r="C11" s="82"/>
      <c r="D11" s="82"/>
      <c r="E11" s="83"/>
      <c r="F11" s="9"/>
      <c r="G11" s="9"/>
      <c r="H11" s="9"/>
      <c r="I11" s="9"/>
      <c r="J11" s="9"/>
      <c r="K11" s="10"/>
    </row>
    <row r="12" spans="2:11" x14ac:dyDescent="0.3">
      <c r="B12" s="94"/>
      <c r="C12" s="95"/>
      <c r="D12" s="95"/>
      <c r="E12" s="96"/>
      <c r="F12" s="9"/>
      <c r="G12" s="9"/>
      <c r="H12" s="9"/>
      <c r="I12" s="9"/>
      <c r="J12" s="9"/>
      <c r="K12" s="10"/>
    </row>
    <row r="13" spans="2:11" x14ac:dyDescent="0.3">
      <c r="B13" s="12"/>
      <c r="C13" s="13"/>
      <c r="D13" s="13"/>
      <c r="E13" s="8"/>
      <c r="F13" s="9"/>
      <c r="G13" s="9"/>
      <c r="H13" s="9"/>
      <c r="I13" s="9"/>
      <c r="J13" s="9"/>
      <c r="K13" s="10"/>
    </row>
    <row r="14" spans="2:11" x14ac:dyDescent="0.3">
      <c r="B14" s="14"/>
      <c r="C14" s="9"/>
      <c r="D14" s="9"/>
      <c r="E14" s="9"/>
      <c r="F14" s="9"/>
      <c r="G14" s="9"/>
      <c r="H14" s="9"/>
      <c r="I14" s="9"/>
      <c r="J14" s="9"/>
      <c r="K14" s="10"/>
    </row>
    <row r="15" spans="2:11" x14ac:dyDescent="0.3">
      <c r="B15" s="68" t="s">
        <v>5</v>
      </c>
      <c r="C15" s="69" t="s">
        <v>6</v>
      </c>
      <c r="D15" s="70"/>
      <c r="E15" s="97"/>
      <c r="F15" s="98"/>
      <c r="G15" s="99" t="s">
        <v>7</v>
      </c>
      <c r="H15" s="100"/>
      <c r="I15" s="100"/>
      <c r="J15" s="100"/>
      <c r="K15" s="101"/>
    </row>
    <row r="16" spans="2:11" x14ac:dyDescent="0.3">
      <c r="B16" s="16" t="s">
        <v>57</v>
      </c>
      <c r="C16" s="102">
        <v>46240</v>
      </c>
      <c r="D16" s="103"/>
      <c r="E16" s="104"/>
      <c r="F16" s="105"/>
      <c r="G16" s="106" t="s">
        <v>8</v>
      </c>
      <c r="H16" s="107"/>
      <c r="I16" s="107"/>
      <c r="J16" s="107"/>
      <c r="K16" s="108"/>
    </row>
    <row r="17" spans="2:11" x14ac:dyDescent="0.3">
      <c r="B17" s="14"/>
      <c r="C17" s="9"/>
      <c r="D17" s="9"/>
      <c r="E17" s="9"/>
      <c r="F17" s="9"/>
      <c r="G17" s="9"/>
      <c r="H17" s="9"/>
      <c r="I17" s="9"/>
      <c r="J17" s="9"/>
      <c r="K17" s="10"/>
    </row>
    <row r="18" spans="2:11" x14ac:dyDescent="0.3">
      <c r="B18" s="71" t="s">
        <v>9</v>
      </c>
      <c r="C18" s="111" t="s">
        <v>10</v>
      </c>
      <c r="D18" s="112"/>
      <c r="E18" s="112"/>
      <c r="F18" s="112"/>
      <c r="G18" s="112"/>
      <c r="H18" s="113"/>
      <c r="I18" s="72" t="s">
        <v>11</v>
      </c>
      <c r="J18" s="73" t="s">
        <v>12</v>
      </c>
      <c r="K18" s="74" t="s">
        <v>13</v>
      </c>
    </row>
    <row r="19" spans="2:11" x14ac:dyDescent="0.3">
      <c r="B19" s="18" t="str">
        <f>IF(C19="","","1")</f>
        <v>1</v>
      </c>
      <c r="C19" s="109" t="s">
        <v>58</v>
      </c>
      <c r="D19" s="110"/>
      <c r="E19" s="110"/>
      <c r="F19" s="110"/>
      <c r="G19" s="110"/>
      <c r="H19" s="19"/>
      <c r="I19" s="20">
        <v>1</v>
      </c>
      <c r="J19" s="21">
        <v>1000</v>
      </c>
      <c r="K19" s="22">
        <f>IF(J19,J19*I19,"")</f>
        <v>1000</v>
      </c>
    </row>
    <row r="20" spans="2:11" x14ac:dyDescent="0.3">
      <c r="B20" s="18" t="str">
        <f>IF(C20="","","2")</f>
        <v/>
      </c>
      <c r="C20" s="109"/>
      <c r="D20" s="110"/>
      <c r="E20" s="110"/>
      <c r="F20" s="110"/>
      <c r="G20" s="110"/>
      <c r="H20" s="19"/>
      <c r="I20" s="20"/>
      <c r="J20" s="21"/>
      <c r="K20" s="22" t="str">
        <f t="shared" ref="K20:K29" si="0">IF(J20,J20*I20,"")</f>
        <v/>
      </c>
    </row>
    <row r="21" spans="2:11" x14ac:dyDescent="0.3">
      <c r="B21" s="18" t="str">
        <f>IF(C21="","","3")</f>
        <v/>
      </c>
      <c r="C21" s="109"/>
      <c r="D21" s="110"/>
      <c r="E21" s="110"/>
      <c r="F21" s="110"/>
      <c r="G21" s="110"/>
      <c r="H21" s="19"/>
      <c r="I21" s="20"/>
      <c r="J21" s="21"/>
      <c r="K21" s="22" t="str">
        <f t="shared" si="0"/>
        <v/>
      </c>
    </row>
    <row r="22" spans="2:11" x14ac:dyDescent="0.3">
      <c r="B22" s="18" t="str">
        <f>IF(C21="","","4")</f>
        <v/>
      </c>
      <c r="C22" s="109"/>
      <c r="D22" s="110"/>
      <c r="E22" s="110"/>
      <c r="F22" s="110"/>
      <c r="G22" s="110"/>
      <c r="H22" s="19"/>
      <c r="I22" s="20"/>
      <c r="J22" s="21"/>
      <c r="K22" s="22" t="str">
        <f t="shared" si="0"/>
        <v/>
      </c>
    </row>
    <row r="23" spans="2:11" x14ac:dyDescent="0.3">
      <c r="B23" s="18" t="str">
        <f>IF(C23="","","5")</f>
        <v/>
      </c>
      <c r="C23" s="109"/>
      <c r="D23" s="110"/>
      <c r="E23" s="110"/>
      <c r="F23" s="110"/>
      <c r="G23" s="110"/>
      <c r="H23" s="19"/>
      <c r="I23" s="20"/>
      <c r="J23" s="21"/>
      <c r="K23" s="22" t="str">
        <f t="shared" si="0"/>
        <v/>
      </c>
    </row>
    <row r="24" spans="2:11" x14ac:dyDescent="0.3">
      <c r="B24" s="18" t="str">
        <f>IF(C24="","","6")</f>
        <v/>
      </c>
      <c r="C24" s="109"/>
      <c r="D24" s="110"/>
      <c r="E24" s="110"/>
      <c r="F24" s="110"/>
      <c r="G24" s="110"/>
      <c r="H24" s="19"/>
      <c r="I24" s="20"/>
      <c r="J24" s="21"/>
      <c r="K24" s="22" t="str">
        <f t="shared" si="0"/>
        <v/>
      </c>
    </row>
    <row r="25" spans="2:11" x14ac:dyDescent="0.3">
      <c r="B25" s="18" t="str">
        <f>IF(C25="","","7")</f>
        <v/>
      </c>
      <c r="C25" s="109"/>
      <c r="D25" s="110"/>
      <c r="E25" s="110"/>
      <c r="F25" s="110"/>
      <c r="G25" s="110"/>
      <c r="H25" s="19"/>
      <c r="I25" s="20"/>
      <c r="J25" s="21"/>
      <c r="K25" s="22" t="str">
        <f t="shared" si="0"/>
        <v/>
      </c>
    </row>
    <row r="26" spans="2:11" x14ac:dyDescent="0.3">
      <c r="B26" s="18"/>
      <c r="C26" s="109"/>
      <c r="D26" s="110"/>
      <c r="E26" s="110"/>
      <c r="F26" s="110"/>
      <c r="G26" s="110"/>
      <c r="H26" s="19"/>
      <c r="I26" s="20"/>
      <c r="J26" s="21"/>
      <c r="K26" s="22" t="str">
        <f t="shared" si="0"/>
        <v/>
      </c>
    </row>
    <row r="27" spans="2:11" x14ac:dyDescent="0.3">
      <c r="B27" s="18"/>
      <c r="C27" s="109"/>
      <c r="D27" s="110"/>
      <c r="E27" s="110"/>
      <c r="F27" s="110"/>
      <c r="G27" s="110"/>
      <c r="H27" s="19"/>
      <c r="I27" s="20"/>
      <c r="J27" s="21"/>
      <c r="K27" s="22" t="str">
        <f t="shared" si="0"/>
        <v/>
      </c>
    </row>
    <row r="28" spans="2:11" x14ac:dyDescent="0.3">
      <c r="B28" s="18"/>
      <c r="C28" s="109"/>
      <c r="D28" s="110"/>
      <c r="E28" s="110"/>
      <c r="F28" s="110"/>
      <c r="G28" s="110"/>
      <c r="H28" s="19"/>
      <c r="I28" s="23"/>
      <c r="J28" s="21"/>
      <c r="K28" s="22" t="str">
        <f t="shared" si="0"/>
        <v/>
      </c>
    </row>
    <row r="29" spans="2:11" x14ac:dyDescent="0.3">
      <c r="B29" s="18"/>
      <c r="C29" s="109"/>
      <c r="D29" s="110"/>
      <c r="E29" s="110"/>
      <c r="F29" s="110"/>
      <c r="G29" s="110"/>
      <c r="H29" s="19"/>
      <c r="I29" s="23"/>
      <c r="J29" s="21"/>
      <c r="K29" s="22" t="str">
        <f t="shared" si="0"/>
        <v/>
      </c>
    </row>
    <row r="30" spans="2:11" ht="15" thickBot="1" x14ac:dyDescent="0.35">
      <c r="B30" s="24"/>
      <c r="C30" s="114" t="s">
        <v>16</v>
      </c>
      <c r="D30" s="115"/>
      <c r="E30" s="115"/>
      <c r="F30" s="115"/>
      <c r="G30" s="115"/>
      <c r="H30" s="25"/>
      <c r="I30" s="26">
        <f ca="1">SUM(I19:K65)</f>
        <v>0</v>
      </c>
      <c r="J30" s="27"/>
      <c r="K30" s="28">
        <f>SUM(K19:K29)</f>
        <v>1000</v>
      </c>
    </row>
    <row r="31" spans="2:11" x14ac:dyDescent="0.3">
      <c r="B31" s="30" t="s">
        <v>17</v>
      </c>
      <c r="C31" s="31"/>
      <c r="D31" s="31"/>
      <c r="E31" s="31"/>
      <c r="F31" s="31"/>
      <c r="G31" s="32"/>
      <c r="H31" s="116"/>
      <c r="I31" s="117"/>
      <c r="J31" s="33" t="s">
        <v>18</v>
      </c>
      <c r="K31" s="34"/>
    </row>
    <row r="32" spans="2:11" x14ac:dyDescent="0.3">
      <c r="B32" s="122" t="s">
        <v>59</v>
      </c>
      <c r="C32" s="123"/>
      <c r="D32" s="123"/>
      <c r="E32" s="123"/>
      <c r="F32" s="123"/>
      <c r="G32" s="124"/>
      <c r="H32" s="118"/>
      <c r="I32" s="119"/>
      <c r="J32" s="35" t="s">
        <v>20</v>
      </c>
      <c r="K32" s="34"/>
    </row>
    <row r="33" spans="2:11" x14ac:dyDescent="0.3">
      <c r="B33" s="36" t="s">
        <v>21</v>
      </c>
      <c r="C33" s="37"/>
      <c r="D33" s="37"/>
      <c r="E33" s="37"/>
      <c r="F33" s="37"/>
      <c r="G33" s="38"/>
      <c r="H33" s="118"/>
      <c r="I33" s="119"/>
      <c r="J33" s="35" t="s">
        <v>22</v>
      </c>
      <c r="K33" s="34"/>
    </row>
    <row r="34" spans="2:11" x14ac:dyDescent="0.3">
      <c r="B34" s="39" t="s">
        <v>23</v>
      </c>
      <c r="C34" s="37"/>
      <c r="D34" s="37"/>
      <c r="E34" s="37"/>
      <c r="F34" s="37"/>
      <c r="G34" s="38"/>
      <c r="H34" s="118"/>
      <c r="I34" s="119"/>
      <c r="J34" s="40" t="s">
        <v>24</v>
      </c>
      <c r="K34" s="41">
        <f>SUM(K30:K33)</f>
        <v>1000</v>
      </c>
    </row>
    <row r="35" spans="2:11" x14ac:dyDescent="0.3">
      <c r="B35" s="39" t="s">
        <v>25</v>
      </c>
      <c r="C35" s="37"/>
      <c r="D35" s="37"/>
      <c r="E35" s="125" t="s">
        <v>26</v>
      </c>
      <c r="F35" s="125"/>
      <c r="G35" s="126"/>
      <c r="H35" s="118"/>
      <c r="I35" s="119"/>
      <c r="J35" s="42"/>
      <c r="K35" s="43"/>
    </row>
    <row r="36" spans="2:11" x14ac:dyDescent="0.3">
      <c r="B36" s="39" t="s">
        <v>27</v>
      </c>
      <c r="C36" s="37"/>
      <c r="D36" s="37"/>
      <c r="E36" s="37"/>
      <c r="F36" s="37"/>
      <c r="G36" s="38"/>
      <c r="H36" s="118"/>
      <c r="I36" s="119"/>
      <c r="J36" s="42"/>
      <c r="K36" s="43"/>
    </row>
    <row r="37" spans="2:11" x14ac:dyDescent="0.3">
      <c r="B37" s="39" t="s">
        <v>28</v>
      </c>
      <c r="C37" s="37"/>
      <c r="D37" s="37"/>
      <c r="E37" s="37"/>
      <c r="F37" s="37"/>
      <c r="G37" s="38"/>
      <c r="H37" s="118"/>
      <c r="I37" s="119"/>
      <c r="J37" s="44"/>
      <c r="K37" s="45"/>
    </row>
    <row r="38" spans="2:11" x14ac:dyDescent="0.3">
      <c r="B38" s="46"/>
      <c r="C38" s="47"/>
      <c r="D38" s="47"/>
      <c r="E38" s="47"/>
      <c r="F38" s="47"/>
      <c r="G38" s="48"/>
      <c r="H38" s="118"/>
      <c r="I38" s="119"/>
      <c r="J38" s="49"/>
      <c r="K38" s="50"/>
    </row>
    <row r="39" spans="2:11" x14ac:dyDescent="0.3">
      <c r="B39" s="14"/>
      <c r="C39" s="9"/>
      <c r="D39" s="9"/>
      <c r="E39" s="92"/>
      <c r="F39" s="92"/>
      <c r="G39" s="93"/>
      <c r="H39" s="120"/>
      <c r="I39" s="121"/>
      <c r="J39" s="51"/>
      <c r="K39" s="52"/>
    </row>
    <row r="40" spans="2:11" x14ac:dyDescent="0.3">
      <c r="B40" s="14"/>
      <c r="C40" s="9"/>
      <c r="D40" s="9"/>
      <c r="E40" s="9"/>
      <c r="F40" s="9"/>
      <c r="G40" s="9"/>
      <c r="H40" s="9"/>
      <c r="I40" s="9"/>
      <c r="J40" s="9"/>
      <c r="K40" s="10"/>
    </row>
    <row r="41" spans="2:11" x14ac:dyDescent="0.3">
      <c r="B41" s="12"/>
      <c r="C41" s="53"/>
      <c r="D41" s="53"/>
      <c r="E41" s="53"/>
      <c r="F41" s="53"/>
      <c r="G41" s="53"/>
      <c r="H41" s="53"/>
      <c r="I41" s="53"/>
      <c r="J41" s="53"/>
      <c r="K41" s="54"/>
    </row>
    <row r="42" spans="2:11" x14ac:dyDescent="0.3">
      <c r="B42" s="12"/>
      <c r="C42" s="53"/>
      <c r="D42" s="53"/>
      <c r="E42" s="53"/>
      <c r="F42" s="53"/>
      <c r="G42" s="53"/>
      <c r="H42" s="53"/>
      <c r="I42" s="53"/>
      <c r="J42" s="53"/>
      <c r="K42" s="54"/>
    </row>
    <row r="43" spans="2:11" x14ac:dyDescent="0.3">
      <c r="B43" s="12"/>
      <c r="C43" s="53"/>
      <c r="D43" s="53"/>
      <c r="E43" s="53"/>
      <c r="F43" s="53"/>
      <c r="G43" s="53"/>
      <c r="H43" s="53"/>
      <c r="I43" s="53"/>
      <c r="J43" s="53"/>
      <c r="K43" s="54"/>
    </row>
    <row r="44" spans="2:11" x14ac:dyDescent="0.3">
      <c r="B44" s="55"/>
      <c r="C44" s="56"/>
      <c r="D44" s="56"/>
      <c r="E44" s="56"/>
      <c r="F44" s="56"/>
      <c r="G44" s="56"/>
      <c r="H44" s="56"/>
      <c r="I44" s="56"/>
      <c r="J44" s="56"/>
      <c r="K44" s="57"/>
    </row>
    <row r="45" spans="2:11" x14ac:dyDescent="0.3">
      <c r="B45" s="58"/>
      <c r="C45" s="59"/>
      <c r="D45" s="59"/>
      <c r="E45" s="59"/>
      <c r="F45" s="59"/>
      <c r="G45" s="59"/>
      <c r="H45" s="59"/>
      <c r="I45" s="59"/>
      <c r="J45" s="59"/>
      <c r="K45" s="60"/>
    </row>
    <row r="46" spans="2:11" ht="15.6" x14ac:dyDescent="0.3">
      <c r="B46" s="61"/>
      <c r="C46" s="56"/>
      <c r="D46" s="56"/>
      <c r="E46" s="56"/>
      <c r="F46" s="56"/>
      <c r="G46" s="9"/>
      <c r="H46" s="62"/>
      <c r="I46" s="62"/>
      <c r="J46" s="56"/>
      <c r="K46" s="57"/>
    </row>
    <row r="47" spans="2:11" ht="15" thickBot="1" x14ac:dyDescent="0.35">
      <c r="B47" s="63" t="s">
        <v>29</v>
      </c>
      <c r="C47" s="64"/>
      <c r="D47" s="64"/>
      <c r="E47" s="64"/>
      <c r="F47" s="64"/>
      <c r="G47" s="65"/>
      <c r="H47" s="66" t="s">
        <v>30</v>
      </c>
      <c r="I47" s="66"/>
      <c r="J47" s="64"/>
      <c r="K47" s="67"/>
    </row>
  </sheetData>
  <mergeCells count="30">
    <mergeCell ref="C30:G30"/>
    <mergeCell ref="H31:I39"/>
    <mergeCell ref="B32:G32"/>
    <mergeCell ref="E35:G35"/>
    <mergeCell ref="E39:G39"/>
    <mergeCell ref="C29:G29"/>
    <mergeCell ref="C18:H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B11:E11"/>
    <mergeCell ref="B12:E12"/>
    <mergeCell ref="E15:F15"/>
    <mergeCell ref="G15:K15"/>
    <mergeCell ref="C16:D16"/>
    <mergeCell ref="E16:F16"/>
    <mergeCell ref="G16:K16"/>
    <mergeCell ref="B10:E10"/>
    <mergeCell ref="B2:K2"/>
    <mergeCell ref="B3:K3"/>
    <mergeCell ref="F5:G5"/>
    <mergeCell ref="C8:E8"/>
    <mergeCell ref="B9:E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0A6D-C9E6-4B91-820B-690721795709}">
  <dimension ref="A2:K50"/>
  <sheetViews>
    <sheetView topLeftCell="A8" workbookViewId="0">
      <selection activeCell="N22" sqref="N22"/>
    </sheetView>
  </sheetViews>
  <sheetFormatPr defaultColWidth="9.21875" defaultRowHeight="13.2" x14ac:dyDescent="0.25"/>
  <cols>
    <col min="1" max="1" width="1.77734375" style="1" customWidth="1"/>
    <col min="2" max="2" width="9.109375" style="1" customWidth="1"/>
    <col min="3" max="3" width="7.44140625" style="1" customWidth="1"/>
    <col min="4" max="4" width="9.21875" style="1"/>
    <col min="5" max="5" width="16.5546875" style="1" customWidth="1"/>
    <col min="6" max="6" width="10.109375" style="1" customWidth="1"/>
    <col min="7" max="7" width="14.33203125" style="1" customWidth="1"/>
    <col min="8" max="8" width="2" style="1" customWidth="1"/>
    <col min="9" max="9" width="11.109375" style="1" customWidth="1"/>
    <col min="10" max="10" width="13.33203125" style="1" customWidth="1"/>
    <col min="11" max="11" width="20" style="1" customWidth="1"/>
    <col min="12" max="12" width="4.6640625" style="1" customWidth="1"/>
    <col min="13" max="16384" width="9.21875" style="1"/>
  </cols>
  <sheetData>
    <row r="2" spans="2:11" ht="13.8" thickBot="1" x14ac:dyDescent="0.3"/>
    <row r="3" spans="2:11" ht="30.6" thickBot="1" x14ac:dyDescent="0.3">
      <c r="B3" s="84" t="s">
        <v>0</v>
      </c>
      <c r="C3" s="85"/>
      <c r="D3" s="85"/>
      <c r="E3" s="85"/>
      <c r="F3" s="85"/>
      <c r="G3" s="85"/>
      <c r="H3" s="85"/>
      <c r="I3" s="85"/>
      <c r="J3" s="85"/>
      <c r="K3" s="86"/>
    </row>
    <row r="4" spans="2:11" ht="14.4" thickBot="1" x14ac:dyDescent="0.3">
      <c r="B4" s="87" t="s">
        <v>1</v>
      </c>
      <c r="C4" s="88"/>
      <c r="D4" s="88"/>
      <c r="E4" s="88"/>
      <c r="F4" s="88"/>
      <c r="G4" s="88"/>
      <c r="H4" s="88"/>
      <c r="I4" s="88"/>
      <c r="J4" s="88"/>
      <c r="K4" s="89"/>
    </row>
    <row r="5" spans="2:11" ht="11.4" customHeight="1" x14ac:dyDescent="0.25">
      <c r="B5" s="2"/>
      <c r="C5" s="3"/>
      <c r="D5" s="3"/>
      <c r="E5" s="3"/>
      <c r="F5" s="4"/>
      <c r="G5" s="4"/>
      <c r="H5" s="3"/>
      <c r="I5" s="3"/>
      <c r="J5" s="3"/>
      <c r="K5" s="5"/>
    </row>
    <row r="6" spans="2:11" ht="22.8" x14ac:dyDescent="0.4">
      <c r="B6" s="6"/>
      <c r="C6" s="7"/>
      <c r="D6" s="7"/>
      <c r="E6" s="8"/>
      <c r="F6" s="127" t="s">
        <v>2</v>
      </c>
      <c r="G6" s="127"/>
      <c r="H6" s="9"/>
      <c r="I6" s="9"/>
      <c r="J6" s="9"/>
      <c r="K6" s="10"/>
    </row>
    <row r="7" spans="2:11" x14ac:dyDescent="0.25">
      <c r="B7" s="6"/>
      <c r="C7" s="7"/>
      <c r="D7" s="7"/>
      <c r="E7" s="8"/>
      <c r="F7" s="9"/>
      <c r="G7" s="9"/>
      <c r="H7" s="9"/>
      <c r="I7" s="9"/>
      <c r="J7" s="9"/>
      <c r="K7" s="10"/>
    </row>
    <row r="8" spans="2:11" x14ac:dyDescent="0.25">
      <c r="B8" s="6"/>
      <c r="C8" s="7"/>
      <c r="D8" s="7"/>
      <c r="E8" s="8"/>
      <c r="F8" s="9"/>
      <c r="G8" s="9"/>
      <c r="H8" s="9"/>
      <c r="I8" s="9"/>
      <c r="J8" s="9"/>
      <c r="K8" s="10"/>
    </row>
    <row r="9" spans="2:11" x14ac:dyDescent="0.25">
      <c r="B9" s="11" t="s">
        <v>3</v>
      </c>
      <c r="C9" s="92"/>
      <c r="D9" s="92"/>
      <c r="E9" s="93"/>
      <c r="F9" s="9"/>
      <c r="G9" s="9"/>
      <c r="H9" s="9"/>
      <c r="I9" s="9"/>
      <c r="J9" s="9"/>
      <c r="K9" s="10"/>
    </row>
    <row r="10" spans="2:11" x14ac:dyDescent="0.25">
      <c r="B10" s="81"/>
      <c r="C10" s="82"/>
      <c r="D10" s="82"/>
      <c r="E10" s="83"/>
      <c r="F10" s="9"/>
      <c r="G10" s="9"/>
      <c r="H10" s="9"/>
      <c r="I10" s="9"/>
      <c r="J10" s="9"/>
      <c r="K10" s="10"/>
    </row>
    <row r="11" spans="2:11" x14ac:dyDescent="0.25">
      <c r="B11" s="81" t="s">
        <v>4</v>
      </c>
      <c r="C11" s="82"/>
      <c r="D11" s="82"/>
      <c r="E11" s="83"/>
      <c r="F11" s="9"/>
      <c r="G11" s="9"/>
      <c r="H11" s="9"/>
      <c r="I11" s="9"/>
      <c r="J11" s="9"/>
      <c r="K11" s="10"/>
    </row>
    <row r="12" spans="2:11" x14ac:dyDescent="0.25">
      <c r="B12" s="81"/>
      <c r="C12" s="82"/>
      <c r="D12" s="82"/>
      <c r="E12" s="83"/>
      <c r="F12" s="9"/>
      <c r="G12" s="9"/>
      <c r="H12" s="9"/>
      <c r="I12" s="9"/>
      <c r="J12" s="9"/>
      <c r="K12" s="10"/>
    </row>
    <row r="13" spans="2:11" x14ac:dyDescent="0.25">
      <c r="B13" s="94"/>
      <c r="C13" s="95"/>
      <c r="D13" s="95"/>
      <c r="E13" s="96"/>
      <c r="F13" s="9"/>
      <c r="G13" s="9"/>
      <c r="H13" s="9"/>
      <c r="I13" s="9"/>
      <c r="J13" s="9"/>
      <c r="K13" s="10"/>
    </row>
    <row r="14" spans="2:11" x14ac:dyDescent="0.25">
      <c r="B14" s="6"/>
      <c r="C14" s="7"/>
      <c r="D14" s="7"/>
      <c r="E14" s="8"/>
      <c r="F14" s="9"/>
      <c r="G14" s="9"/>
      <c r="H14" s="9"/>
      <c r="I14" s="9"/>
      <c r="J14" s="9"/>
      <c r="K14" s="10"/>
    </row>
    <row r="15" spans="2:11" x14ac:dyDescent="0.25">
      <c r="B15" s="14"/>
      <c r="C15" s="9"/>
      <c r="D15" s="9"/>
      <c r="E15" s="9"/>
      <c r="F15" s="9"/>
      <c r="G15" s="9"/>
      <c r="H15" s="9"/>
      <c r="I15" s="9"/>
      <c r="J15" s="9"/>
      <c r="K15" s="10"/>
    </row>
    <row r="16" spans="2:11" s="15" customFormat="1" x14ac:dyDescent="0.3">
      <c r="B16" s="68" t="s">
        <v>5</v>
      </c>
      <c r="C16" s="69" t="s">
        <v>6</v>
      </c>
      <c r="D16" s="70"/>
      <c r="E16" s="97"/>
      <c r="F16" s="98"/>
      <c r="G16" s="99" t="s">
        <v>7</v>
      </c>
      <c r="H16" s="100"/>
      <c r="I16" s="100"/>
      <c r="J16" s="100"/>
      <c r="K16" s="101"/>
    </row>
    <row r="17" spans="1:11" s="15" customFormat="1" ht="18.899999999999999" customHeight="1" x14ac:dyDescent="0.3">
      <c r="B17" s="16">
        <v>252611</v>
      </c>
      <c r="C17" s="102">
        <v>46233</v>
      </c>
      <c r="D17" s="103"/>
      <c r="E17" s="104"/>
      <c r="F17" s="105"/>
      <c r="G17" s="106" t="s">
        <v>8</v>
      </c>
      <c r="H17" s="107"/>
      <c r="I17" s="107"/>
      <c r="J17" s="107"/>
      <c r="K17" s="108"/>
    </row>
    <row r="18" spans="1:11" x14ac:dyDescent="0.25">
      <c r="B18" s="14"/>
      <c r="C18" s="9"/>
      <c r="D18" s="9"/>
      <c r="E18" s="9"/>
      <c r="F18" s="9"/>
      <c r="G18" s="9"/>
      <c r="H18" s="9"/>
      <c r="I18" s="9"/>
      <c r="J18" s="9"/>
      <c r="K18" s="10"/>
    </row>
    <row r="19" spans="1:11" s="17" customFormat="1" ht="20.100000000000001" customHeight="1" x14ac:dyDescent="0.25">
      <c r="B19" s="71" t="s">
        <v>9</v>
      </c>
      <c r="C19" s="111" t="s">
        <v>10</v>
      </c>
      <c r="D19" s="112"/>
      <c r="E19" s="112"/>
      <c r="F19" s="112"/>
      <c r="G19" s="112"/>
      <c r="H19" s="113"/>
      <c r="I19" s="72" t="s">
        <v>11</v>
      </c>
      <c r="J19" s="73" t="s">
        <v>12</v>
      </c>
      <c r="K19" s="74" t="s">
        <v>13</v>
      </c>
    </row>
    <row r="20" spans="1:11" s="15" customFormat="1" ht="20.399999999999999" customHeight="1" x14ac:dyDescent="0.3">
      <c r="B20" s="18" t="str">
        <f>IF(C20="","","1")</f>
        <v>1</v>
      </c>
      <c r="C20" s="109" t="s">
        <v>14</v>
      </c>
      <c r="D20" s="110"/>
      <c r="E20" s="110"/>
      <c r="F20" s="110"/>
      <c r="G20" s="110"/>
      <c r="H20" s="19"/>
      <c r="I20" s="20">
        <v>1</v>
      </c>
      <c r="J20" s="21">
        <v>1800</v>
      </c>
      <c r="K20" s="22">
        <f>IF(J20,J20*I20,"")</f>
        <v>1800</v>
      </c>
    </row>
    <row r="21" spans="1:11" s="15" customFormat="1" ht="20.399999999999999" customHeight="1" x14ac:dyDescent="0.3">
      <c r="B21" s="18" t="str">
        <f>IF(C21="","","2")</f>
        <v>2</v>
      </c>
      <c r="C21" s="109" t="s">
        <v>15</v>
      </c>
      <c r="D21" s="110"/>
      <c r="E21" s="110"/>
      <c r="F21" s="110"/>
      <c r="G21" s="110"/>
      <c r="H21" s="19"/>
      <c r="I21" s="20">
        <v>1</v>
      </c>
      <c r="J21" s="21">
        <v>1750</v>
      </c>
      <c r="K21" s="22">
        <f t="shared" ref="K21:K30" si="0">IF(J21,J21*I21,"")</f>
        <v>1750</v>
      </c>
    </row>
    <row r="22" spans="1:11" s="15" customFormat="1" ht="20.399999999999999" customHeight="1" x14ac:dyDescent="0.3">
      <c r="B22" s="18" t="str">
        <f>IF(C22="","","3")</f>
        <v/>
      </c>
      <c r="C22" s="109"/>
      <c r="D22" s="110"/>
      <c r="E22" s="110"/>
      <c r="F22" s="110"/>
      <c r="G22" s="110"/>
      <c r="H22" s="19"/>
      <c r="I22" s="20"/>
      <c r="J22" s="21"/>
      <c r="K22" s="22" t="str">
        <f t="shared" si="0"/>
        <v/>
      </c>
    </row>
    <row r="23" spans="1:11" s="15" customFormat="1" ht="20.399999999999999" customHeight="1" x14ac:dyDescent="0.3">
      <c r="B23" s="18" t="str">
        <f>IF(C22="","","4")</f>
        <v/>
      </c>
      <c r="C23" s="109"/>
      <c r="D23" s="110"/>
      <c r="E23" s="110"/>
      <c r="F23" s="110"/>
      <c r="G23" s="110"/>
      <c r="H23" s="19"/>
      <c r="I23" s="20"/>
      <c r="J23" s="21"/>
      <c r="K23" s="22" t="str">
        <f t="shared" si="0"/>
        <v/>
      </c>
    </row>
    <row r="24" spans="1:11" s="15" customFormat="1" ht="20.399999999999999" customHeight="1" x14ac:dyDescent="0.3">
      <c r="B24" s="18" t="str">
        <f>IF(C24="","","5")</f>
        <v/>
      </c>
      <c r="C24" s="109"/>
      <c r="D24" s="110"/>
      <c r="E24" s="110"/>
      <c r="F24" s="110"/>
      <c r="G24" s="110"/>
      <c r="H24" s="19"/>
      <c r="I24" s="20"/>
      <c r="J24" s="21"/>
      <c r="K24" s="22" t="str">
        <f t="shared" si="0"/>
        <v/>
      </c>
    </row>
    <row r="25" spans="1:11" s="15" customFormat="1" ht="20.399999999999999" customHeight="1" x14ac:dyDescent="0.3">
      <c r="B25" s="18" t="str">
        <f>IF(C25="","","6")</f>
        <v/>
      </c>
      <c r="C25" s="109"/>
      <c r="D25" s="110"/>
      <c r="E25" s="110"/>
      <c r="F25" s="110"/>
      <c r="G25" s="110"/>
      <c r="H25" s="19"/>
      <c r="I25" s="20"/>
      <c r="J25" s="21"/>
      <c r="K25" s="22" t="str">
        <f t="shared" si="0"/>
        <v/>
      </c>
    </row>
    <row r="26" spans="1:11" s="15" customFormat="1" ht="20.399999999999999" customHeight="1" x14ac:dyDescent="0.3">
      <c r="B26" s="18" t="str">
        <f>IF(C26="","","7")</f>
        <v/>
      </c>
      <c r="C26" s="109"/>
      <c r="D26" s="110"/>
      <c r="E26" s="110"/>
      <c r="F26" s="110"/>
      <c r="G26" s="110"/>
      <c r="H26" s="19"/>
      <c r="I26" s="20"/>
      <c r="J26" s="21"/>
      <c r="K26" s="22" t="str">
        <f t="shared" si="0"/>
        <v/>
      </c>
    </row>
    <row r="27" spans="1:11" s="15" customFormat="1" ht="20.399999999999999" customHeight="1" x14ac:dyDescent="0.3">
      <c r="B27" s="18"/>
      <c r="C27" s="109"/>
      <c r="D27" s="110"/>
      <c r="E27" s="110"/>
      <c r="F27" s="110"/>
      <c r="G27" s="110"/>
      <c r="H27" s="19"/>
      <c r="I27" s="20"/>
      <c r="J27" s="21"/>
      <c r="K27" s="22" t="str">
        <f t="shared" si="0"/>
        <v/>
      </c>
    </row>
    <row r="28" spans="1:11" s="15" customFormat="1" ht="20.399999999999999" customHeight="1" x14ac:dyDescent="0.3">
      <c r="B28" s="18"/>
      <c r="C28" s="109"/>
      <c r="D28" s="110"/>
      <c r="E28" s="110"/>
      <c r="F28" s="110"/>
      <c r="G28" s="110"/>
      <c r="H28" s="19"/>
      <c r="I28" s="20"/>
      <c r="J28" s="21"/>
      <c r="K28" s="22" t="str">
        <f t="shared" si="0"/>
        <v/>
      </c>
    </row>
    <row r="29" spans="1:11" s="15" customFormat="1" ht="20.399999999999999" customHeight="1" x14ac:dyDescent="0.3">
      <c r="B29" s="18"/>
      <c r="C29" s="109"/>
      <c r="D29" s="110"/>
      <c r="E29" s="110"/>
      <c r="F29" s="110"/>
      <c r="G29" s="110"/>
      <c r="H29" s="19"/>
      <c r="I29" s="23"/>
      <c r="J29" s="21"/>
      <c r="K29" s="22" t="str">
        <f t="shared" si="0"/>
        <v/>
      </c>
    </row>
    <row r="30" spans="1:11" s="15" customFormat="1" ht="20.399999999999999" customHeight="1" x14ac:dyDescent="0.3">
      <c r="B30" s="18"/>
      <c r="C30" s="109"/>
      <c r="D30" s="110"/>
      <c r="E30" s="110"/>
      <c r="F30" s="110"/>
      <c r="G30" s="110"/>
      <c r="H30" s="19"/>
      <c r="I30" s="23"/>
      <c r="J30" s="21"/>
      <c r="K30" s="22" t="str">
        <f t="shared" si="0"/>
        <v/>
      </c>
    </row>
    <row r="31" spans="1:11" s="15" customFormat="1" ht="20.399999999999999" customHeight="1" thickBot="1" x14ac:dyDescent="0.35">
      <c r="B31" s="24"/>
      <c r="C31" s="114" t="s">
        <v>16</v>
      </c>
      <c r="D31" s="115"/>
      <c r="E31" s="115"/>
      <c r="F31" s="115"/>
      <c r="G31" s="115"/>
      <c r="H31" s="25"/>
      <c r="I31" s="26">
        <f ca="1">SUM(I20:K66)</f>
        <v>0</v>
      </c>
      <c r="J31" s="27"/>
      <c r="K31" s="28">
        <f>SUM(K20:K30)</f>
        <v>3550</v>
      </c>
    </row>
    <row r="32" spans="1:11" ht="15.6" customHeight="1" x14ac:dyDescent="0.25">
      <c r="A32" s="29"/>
      <c r="B32" s="30" t="s">
        <v>17</v>
      </c>
      <c r="C32" s="31"/>
      <c r="D32" s="31"/>
      <c r="E32" s="31"/>
      <c r="F32" s="31"/>
      <c r="G32" s="32"/>
      <c r="H32" s="116"/>
      <c r="I32" s="117"/>
      <c r="J32" s="33" t="s">
        <v>18</v>
      </c>
      <c r="K32" s="34"/>
    </row>
    <row r="33" spans="1:11" ht="15.6" customHeight="1" x14ac:dyDescent="0.25">
      <c r="A33" s="29"/>
      <c r="B33" s="122" t="s">
        <v>19</v>
      </c>
      <c r="C33" s="123"/>
      <c r="D33" s="123"/>
      <c r="E33" s="123"/>
      <c r="F33" s="123"/>
      <c r="G33" s="124"/>
      <c r="H33" s="118"/>
      <c r="I33" s="119"/>
      <c r="J33" s="35" t="s">
        <v>20</v>
      </c>
      <c r="K33" s="34"/>
    </row>
    <row r="34" spans="1:11" ht="15.6" customHeight="1" x14ac:dyDescent="0.25">
      <c r="B34" s="36" t="s">
        <v>21</v>
      </c>
      <c r="C34" s="37"/>
      <c r="D34" s="37"/>
      <c r="E34" s="37"/>
      <c r="F34" s="37"/>
      <c r="G34" s="38"/>
      <c r="H34" s="118"/>
      <c r="I34" s="119"/>
      <c r="J34" s="35" t="s">
        <v>22</v>
      </c>
      <c r="K34" s="34"/>
    </row>
    <row r="35" spans="1:11" s="15" customFormat="1" ht="19.5" customHeight="1" x14ac:dyDescent="0.25">
      <c r="B35" s="39" t="s">
        <v>23</v>
      </c>
      <c r="C35" s="37"/>
      <c r="D35" s="37"/>
      <c r="E35" s="37"/>
      <c r="F35" s="37"/>
      <c r="G35" s="38"/>
      <c r="H35" s="118"/>
      <c r="I35" s="119"/>
      <c r="J35" s="40" t="s">
        <v>24</v>
      </c>
      <c r="K35" s="41">
        <f>SUM(K31:K34)</f>
        <v>3550</v>
      </c>
    </row>
    <row r="36" spans="1:11" s="15" customFormat="1" x14ac:dyDescent="0.25">
      <c r="B36" s="39" t="s">
        <v>25</v>
      </c>
      <c r="C36" s="37"/>
      <c r="D36" s="37"/>
      <c r="E36" s="125" t="s">
        <v>26</v>
      </c>
      <c r="F36" s="125"/>
      <c r="G36" s="126"/>
      <c r="H36" s="118"/>
      <c r="I36" s="119"/>
      <c r="J36" s="42"/>
      <c r="K36" s="43"/>
    </row>
    <row r="37" spans="1:11" s="15" customFormat="1" x14ac:dyDescent="0.25">
      <c r="B37" s="39" t="s">
        <v>27</v>
      </c>
      <c r="C37" s="37"/>
      <c r="D37" s="37"/>
      <c r="E37" s="37"/>
      <c r="F37" s="37"/>
      <c r="G37" s="38"/>
      <c r="H37" s="118"/>
      <c r="I37" s="119"/>
      <c r="J37" s="42"/>
      <c r="K37" s="43"/>
    </row>
    <row r="38" spans="1:11" x14ac:dyDescent="0.25">
      <c r="B38" s="39" t="s">
        <v>28</v>
      </c>
      <c r="C38" s="37"/>
      <c r="D38" s="37"/>
      <c r="E38" s="37"/>
      <c r="F38" s="37"/>
      <c r="G38" s="38"/>
      <c r="H38" s="118"/>
      <c r="I38" s="119"/>
      <c r="J38" s="44"/>
      <c r="K38" s="45"/>
    </row>
    <row r="39" spans="1:11" x14ac:dyDescent="0.25">
      <c r="B39" s="46"/>
      <c r="C39" s="47"/>
      <c r="D39" s="47"/>
      <c r="E39" s="47"/>
      <c r="F39" s="47"/>
      <c r="G39" s="48"/>
      <c r="H39" s="118"/>
      <c r="I39" s="119"/>
      <c r="J39" s="49"/>
      <c r="K39" s="50"/>
    </row>
    <row r="40" spans="1:11" ht="12.9" customHeight="1" x14ac:dyDescent="0.25">
      <c r="B40" s="14"/>
      <c r="C40" s="9"/>
      <c r="D40" s="9"/>
      <c r="E40" s="92"/>
      <c r="F40" s="92"/>
      <c r="G40" s="93"/>
      <c r="H40" s="120"/>
      <c r="I40" s="121"/>
      <c r="J40" s="51"/>
      <c r="K40" s="52"/>
    </row>
    <row r="41" spans="1:11" x14ac:dyDescent="0.25">
      <c r="B41" s="14"/>
      <c r="C41" s="9"/>
      <c r="D41" s="9"/>
      <c r="E41" s="9"/>
      <c r="F41" s="9"/>
      <c r="G41" s="9"/>
      <c r="H41" s="9"/>
      <c r="I41" s="9"/>
      <c r="J41" s="9"/>
      <c r="K41" s="10"/>
    </row>
    <row r="42" spans="1:11" x14ac:dyDescent="0.25">
      <c r="B42" s="6"/>
      <c r="C42" s="53"/>
      <c r="D42" s="53"/>
      <c r="E42" s="53"/>
      <c r="F42" s="53"/>
      <c r="G42" s="53"/>
      <c r="H42" s="53"/>
      <c r="I42" s="53"/>
      <c r="J42" s="53"/>
      <c r="K42" s="54"/>
    </row>
    <row r="43" spans="1:11" x14ac:dyDescent="0.25">
      <c r="B43" s="6"/>
      <c r="C43" s="53"/>
      <c r="D43" s="53"/>
      <c r="E43" s="53"/>
      <c r="F43" s="53"/>
      <c r="G43" s="53"/>
      <c r="H43" s="53"/>
      <c r="I43" s="53"/>
      <c r="J43" s="53"/>
      <c r="K43" s="54"/>
    </row>
    <row r="44" spans="1:11" x14ac:dyDescent="0.25">
      <c r="B44" s="6"/>
      <c r="C44" s="53"/>
      <c r="D44" s="53"/>
      <c r="E44" s="53"/>
      <c r="F44" s="53"/>
      <c r="G44" s="53"/>
      <c r="H44" s="53"/>
      <c r="I44" s="53"/>
      <c r="J44" s="53"/>
      <c r="K44" s="54"/>
    </row>
    <row r="45" spans="1:11" x14ac:dyDescent="0.25">
      <c r="B45" s="55"/>
      <c r="C45" s="56"/>
      <c r="D45" s="56"/>
      <c r="E45" s="56"/>
      <c r="F45" s="56"/>
      <c r="G45" s="56"/>
      <c r="H45" s="56"/>
      <c r="I45" s="56"/>
      <c r="J45" s="56"/>
      <c r="K45" s="57"/>
    </row>
    <row r="46" spans="1:11" x14ac:dyDescent="0.25">
      <c r="B46" s="58"/>
      <c r="C46" s="59"/>
      <c r="D46" s="59"/>
      <c r="E46" s="59"/>
      <c r="F46" s="59"/>
      <c r="G46" s="59"/>
      <c r="H46" s="59"/>
      <c r="I46" s="59"/>
      <c r="J46" s="59"/>
      <c r="K46" s="60"/>
    </row>
    <row r="47" spans="1:11" ht="15" x14ac:dyDescent="0.25">
      <c r="B47" s="61"/>
      <c r="C47" s="56"/>
      <c r="D47" s="56"/>
      <c r="E47" s="56"/>
      <c r="F47" s="56"/>
      <c r="G47" s="9"/>
      <c r="H47" s="62"/>
      <c r="I47" s="62"/>
      <c r="J47" s="56"/>
      <c r="K47" s="57"/>
    </row>
    <row r="48" spans="1:11" ht="13.8" thickBot="1" x14ac:dyDescent="0.3">
      <c r="B48" s="63" t="s">
        <v>29</v>
      </c>
      <c r="C48" s="64"/>
      <c r="D48" s="64"/>
      <c r="E48" s="64"/>
      <c r="F48" s="64"/>
      <c r="G48" s="65"/>
      <c r="H48" s="66" t="s">
        <v>30</v>
      </c>
      <c r="I48" s="66"/>
      <c r="J48" s="64"/>
      <c r="K48" s="67"/>
    </row>
    <row r="50" spans="2:11" x14ac:dyDescent="0.25">
      <c r="B50" s="128"/>
      <c r="C50" s="128"/>
      <c r="D50" s="128"/>
      <c r="E50" s="128"/>
      <c r="F50" s="128"/>
      <c r="G50" s="128"/>
      <c r="H50" s="128"/>
      <c r="I50" s="128"/>
      <c r="J50" s="128"/>
      <c r="K50" s="128"/>
    </row>
  </sheetData>
  <mergeCells count="31">
    <mergeCell ref="B11:E11"/>
    <mergeCell ref="B3:K3"/>
    <mergeCell ref="B4:K4"/>
    <mergeCell ref="F6:G6"/>
    <mergeCell ref="C9:E9"/>
    <mergeCell ref="B10:E10"/>
    <mergeCell ref="C24:G24"/>
    <mergeCell ref="B12:E12"/>
    <mergeCell ref="B13:E13"/>
    <mergeCell ref="E16:F16"/>
    <mergeCell ref="G16:K16"/>
    <mergeCell ref="C17:D17"/>
    <mergeCell ref="E17:F17"/>
    <mergeCell ref="G17:K17"/>
    <mergeCell ref="C19:H19"/>
    <mergeCell ref="C20:G20"/>
    <mergeCell ref="C21:G21"/>
    <mergeCell ref="C22:G22"/>
    <mergeCell ref="C23:G23"/>
    <mergeCell ref="B50:K50"/>
    <mergeCell ref="C25:G25"/>
    <mergeCell ref="C26:G26"/>
    <mergeCell ref="C27:G27"/>
    <mergeCell ref="C28:G28"/>
    <mergeCell ref="C29:G29"/>
    <mergeCell ref="C30:G30"/>
    <mergeCell ref="C31:G31"/>
    <mergeCell ref="H32:I40"/>
    <mergeCell ref="B33:G33"/>
    <mergeCell ref="E36:G36"/>
    <mergeCell ref="E40:G4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B042-4470-475E-B31C-35919B6E2C2D}">
  <sheetPr>
    <pageSetUpPr fitToPage="1"/>
  </sheetPr>
  <dimension ref="A2:K50"/>
  <sheetViews>
    <sheetView tabSelected="1" workbookViewId="0">
      <selection activeCell="M24" sqref="M24"/>
    </sheetView>
  </sheetViews>
  <sheetFormatPr defaultColWidth="9.21875" defaultRowHeight="13.2" x14ac:dyDescent="0.25"/>
  <cols>
    <col min="1" max="1" width="1.77734375" style="1" customWidth="1"/>
    <col min="2" max="2" width="9.109375" style="1" customWidth="1"/>
    <col min="3" max="3" width="7.44140625" style="1" customWidth="1"/>
    <col min="4" max="4" width="9.21875" style="1"/>
    <col min="5" max="5" width="16.5546875" style="1" customWidth="1"/>
    <col min="6" max="6" width="10.109375" style="1" customWidth="1"/>
    <col min="7" max="7" width="11.5546875" style="1" customWidth="1"/>
    <col min="8" max="8" width="3.5546875" style="1" customWidth="1"/>
    <col min="9" max="9" width="11.44140625" style="1" customWidth="1"/>
    <col min="10" max="10" width="13.33203125" style="1" customWidth="1"/>
    <col min="11" max="11" width="17.33203125" style="1" customWidth="1"/>
    <col min="12" max="12" width="4.6640625" style="1" customWidth="1"/>
    <col min="13" max="16384" width="9.21875" style="1"/>
  </cols>
  <sheetData>
    <row r="2" spans="2:11" ht="13.8" thickBot="1" x14ac:dyDescent="0.3"/>
    <row r="3" spans="2:11" ht="30.6" thickBot="1" x14ac:dyDescent="0.3">
      <c r="B3" s="84" t="s">
        <v>0</v>
      </c>
      <c r="C3" s="85"/>
      <c r="D3" s="85"/>
      <c r="E3" s="85"/>
      <c r="F3" s="85"/>
      <c r="G3" s="85"/>
      <c r="H3" s="85"/>
      <c r="I3" s="85"/>
      <c r="J3" s="85"/>
      <c r="K3" s="86"/>
    </row>
    <row r="4" spans="2:11" ht="14.4" thickBot="1" x14ac:dyDescent="0.3">
      <c r="B4" s="87" t="s">
        <v>1</v>
      </c>
      <c r="C4" s="88"/>
      <c r="D4" s="88"/>
      <c r="E4" s="88"/>
      <c r="F4" s="88"/>
      <c r="G4" s="88"/>
      <c r="H4" s="88"/>
      <c r="I4" s="88"/>
      <c r="J4" s="88"/>
      <c r="K4" s="89"/>
    </row>
    <row r="5" spans="2:11" ht="11.4" customHeight="1" x14ac:dyDescent="0.25">
      <c r="B5" s="2"/>
      <c r="C5" s="3"/>
      <c r="D5" s="3"/>
      <c r="E5" s="3"/>
      <c r="F5" s="4"/>
      <c r="G5" s="4"/>
      <c r="H5" s="3"/>
      <c r="I5" s="3"/>
      <c r="J5" s="3"/>
      <c r="K5" s="5"/>
    </row>
    <row r="6" spans="2:11" ht="22.8" x14ac:dyDescent="0.4">
      <c r="B6" s="77"/>
      <c r="C6" s="78"/>
      <c r="D6" s="78"/>
      <c r="E6" s="8"/>
      <c r="F6" s="127" t="s">
        <v>2</v>
      </c>
      <c r="G6" s="127"/>
      <c r="H6" s="9"/>
      <c r="I6" s="9"/>
      <c r="J6" s="9"/>
      <c r="K6" s="10"/>
    </row>
    <row r="7" spans="2:11" x14ac:dyDescent="0.25">
      <c r="B7" s="77"/>
      <c r="C7" s="78"/>
      <c r="D7" s="78"/>
      <c r="E7" s="8"/>
      <c r="F7" s="9"/>
      <c r="G7" s="9"/>
      <c r="H7" s="9"/>
      <c r="I7" s="9"/>
      <c r="J7" s="9"/>
      <c r="K7" s="10"/>
    </row>
    <row r="8" spans="2:11" x14ac:dyDescent="0.25">
      <c r="B8" s="77"/>
      <c r="C8" s="78"/>
      <c r="D8" s="78"/>
      <c r="E8" s="8"/>
      <c r="F8" s="9"/>
      <c r="G8" s="9"/>
      <c r="H8" s="9"/>
      <c r="I8" s="9"/>
      <c r="J8" s="9"/>
      <c r="K8" s="10"/>
    </row>
    <row r="9" spans="2:11" x14ac:dyDescent="0.25">
      <c r="B9" s="11" t="s">
        <v>3</v>
      </c>
      <c r="C9" s="92"/>
      <c r="D9" s="92"/>
      <c r="E9" s="93"/>
      <c r="F9" s="9"/>
      <c r="G9" s="9"/>
      <c r="H9" s="9"/>
      <c r="I9" s="9"/>
      <c r="J9" s="9"/>
      <c r="K9" s="10"/>
    </row>
    <row r="10" spans="2:11" x14ac:dyDescent="0.25">
      <c r="B10" s="81"/>
      <c r="C10" s="82"/>
      <c r="D10" s="82"/>
      <c r="E10" s="83"/>
      <c r="F10" s="9"/>
      <c r="G10" s="9"/>
      <c r="H10" s="9"/>
      <c r="I10" s="9"/>
      <c r="J10" s="9"/>
      <c r="K10" s="10"/>
    </row>
    <row r="11" spans="2:11" x14ac:dyDescent="0.25">
      <c r="B11" s="81" t="s">
        <v>76</v>
      </c>
      <c r="C11" s="82"/>
      <c r="D11" s="82"/>
      <c r="E11" s="83"/>
      <c r="F11" s="9"/>
      <c r="G11" s="9"/>
      <c r="H11" s="9"/>
      <c r="I11" s="9"/>
      <c r="J11" s="9"/>
      <c r="K11" s="10"/>
    </row>
    <row r="12" spans="2:11" x14ac:dyDescent="0.25">
      <c r="B12" s="81"/>
      <c r="C12" s="82"/>
      <c r="D12" s="82"/>
      <c r="E12" s="83"/>
      <c r="F12" s="9"/>
      <c r="G12" s="9"/>
      <c r="H12" s="9"/>
      <c r="I12" s="9"/>
      <c r="J12" s="9"/>
      <c r="K12" s="10"/>
    </row>
    <row r="13" spans="2:11" x14ac:dyDescent="0.25">
      <c r="B13" s="94"/>
      <c r="C13" s="95"/>
      <c r="D13" s="95"/>
      <c r="E13" s="96"/>
      <c r="F13" s="9"/>
      <c r="G13" s="9"/>
      <c r="H13" s="9"/>
      <c r="I13" s="9"/>
      <c r="J13" s="9"/>
      <c r="K13" s="10"/>
    </row>
    <row r="14" spans="2:11" x14ac:dyDescent="0.25">
      <c r="B14" s="77"/>
      <c r="C14" s="78"/>
      <c r="D14" s="78"/>
      <c r="E14" s="8"/>
      <c r="F14" s="9"/>
      <c r="G14" s="9"/>
      <c r="H14" s="9"/>
      <c r="I14" s="9"/>
      <c r="J14" s="9"/>
      <c r="K14" s="10"/>
    </row>
    <row r="15" spans="2:11" x14ac:dyDescent="0.25">
      <c r="B15" s="14"/>
      <c r="C15" s="9"/>
      <c r="D15" s="9"/>
      <c r="E15" s="9"/>
      <c r="F15" s="9"/>
      <c r="G15" s="9"/>
      <c r="H15" s="9"/>
      <c r="I15" s="9"/>
      <c r="J15" s="9"/>
      <c r="K15" s="10"/>
    </row>
    <row r="16" spans="2:11" s="15" customFormat="1" x14ac:dyDescent="0.3">
      <c r="B16" s="68" t="s">
        <v>5</v>
      </c>
      <c r="C16" s="69" t="s">
        <v>6</v>
      </c>
      <c r="D16" s="70"/>
      <c r="E16" s="97"/>
      <c r="F16" s="98"/>
      <c r="G16" s="99" t="s">
        <v>7</v>
      </c>
      <c r="H16" s="100"/>
      <c r="I16" s="100"/>
      <c r="J16" s="100"/>
      <c r="K16" s="101"/>
    </row>
    <row r="17" spans="1:11" s="15" customFormat="1" ht="18.899999999999999" customHeight="1" x14ac:dyDescent="0.3">
      <c r="B17" s="16">
        <v>252624</v>
      </c>
      <c r="C17" s="102">
        <v>46246</v>
      </c>
      <c r="D17" s="103"/>
      <c r="E17" s="104"/>
      <c r="F17" s="105"/>
      <c r="G17" s="106" t="s">
        <v>8</v>
      </c>
      <c r="H17" s="107"/>
      <c r="I17" s="107"/>
      <c r="J17" s="107"/>
      <c r="K17" s="108"/>
    </row>
    <row r="18" spans="1:11" x14ac:dyDescent="0.25">
      <c r="B18" s="14"/>
      <c r="C18" s="9"/>
      <c r="D18" s="9"/>
      <c r="E18" s="9"/>
      <c r="F18" s="9"/>
      <c r="G18" s="9"/>
      <c r="H18" s="9"/>
      <c r="I18" s="9"/>
      <c r="J18" s="9"/>
      <c r="K18" s="10"/>
    </row>
    <row r="19" spans="1:11" s="17" customFormat="1" ht="20.100000000000001" customHeight="1" x14ac:dyDescent="0.25">
      <c r="B19" s="71" t="s">
        <v>9</v>
      </c>
      <c r="C19" s="111" t="s">
        <v>10</v>
      </c>
      <c r="D19" s="112"/>
      <c r="E19" s="112"/>
      <c r="F19" s="112"/>
      <c r="G19" s="112"/>
      <c r="H19" s="113"/>
      <c r="I19" s="72" t="s">
        <v>11</v>
      </c>
      <c r="J19" s="73" t="s">
        <v>12</v>
      </c>
      <c r="K19" s="74" t="s">
        <v>13</v>
      </c>
    </row>
    <row r="20" spans="1:11" s="15" customFormat="1" ht="20.399999999999999" customHeight="1" x14ac:dyDescent="0.3">
      <c r="B20" s="18" t="str">
        <f>IF(C20="","","1")</f>
        <v>1</v>
      </c>
      <c r="C20" s="109" t="s">
        <v>69</v>
      </c>
      <c r="D20" s="110"/>
      <c r="E20" s="110"/>
      <c r="F20" s="110"/>
      <c r="G20" s="110"/>
      <c r="H20" s="19"/>
      <c r="I20" s="20">
        <v>6</v>
      </c>
      <c r="J20" s="21">
        <v>280</v>
      </c>
      <c r="K20" s="22">
        <f>IF(J20,J20*I20,"")</f>
        <v>1680</v>
      </c>
    </row>
    <row r="21" spans="1:11" s="15" customFormat="1" ht="20.399999999999999" customHeight="1" x14ac:dyDescent="0.3">
      <c r="B21" s="18" t="str">
        <f>IF(C21="","","2")</f>
        <v>2</v>
      </c>
      <c r="C21" s="109" t="s">
        <v>70</v>
      </c>
      <c r="D21" s="110"/>
      <c r="E21" s="110"/>
      <c r="F21" s="110"/>
      <c r="G21" s="110"/>
      <c r="H21" s="19"/>
      <c r="I21" s="20">
        <v>6</v>
      </c>
      <c r="J21" s="21">
        <v>120</v>
      </c>
      <c r="K21" s="22">
        <f t="shared" ref="K21:K30" si="0">IF(J21,J21*I21,"")</f>
        <v>720</v>
      </c>
    </row>
    <row r="22" spans="1:11" s="15" customFormat="1" ht="20.399999999999999" customHeight="1" x14ac:dyDescent="0.3">
      <c r="B22" s="18" t="str">
        <f>IF(C22="","","3")</f>
        <v>3</v>
      </c>
      <c r="C22" s="109" t="s">
        <v>71</v>
      </c>
      <c r="D22" s="110"/>
      <c r="E22" s="110"/>
      <c r="F22" s="110"/>
      <c r="G22" s="110"/>
      <c r="H22" s="19"/>
      <c r="I22" s="20">
        <v>6</v>
      </c>
      <c r="J22" s="21">
        <v>75</v>
      </c>
      <c r="K22" s="22">
        <f t="shared" si="0"/>
        <v>450</v>
      </c>
    </row>
    <row r="23" spans="1:11" s="15" customFormat="1" ht="20.399999999999999" customHeight="1" x14ac:dyDescent="0.3">
      <c r="B23" s="18" t="str">
        <f>IF(C22="","","4")</f>
        <v>4</v>
      </c>
      <c r="C23" s="109" t="s">
        <v>72</v>
      </c>
      <c r="D23" s="110"/>
      <c r="E23" s="110"/>
      <c r="F23" s="110"/>
      <c r="G23" s="110"/>
      <c r="H23" s="19"/>
      <c r="I23" s="20">
        <v>1</v>
      </c>
      <c r="J23" s="21">
        <v>350</v>
      </c>
      <c r="K23" s="22">
        <f t="shared" si="0"/>
        <v>350</v>
      </c>
    </row>
    <row r="24" spans="1:11" s="15" customFormat="1" ht="20.399999999999999" customHeight="1" x14ac:dyDescent="0.3">
      <c r="B24" s="18" t="str">
        <f>IF(C24="","","5")</f>
        <v>5</v>
      </c>
      <c r="C24" s="109" t="s">
        <v>73</v>
      </c>
      <c r="D24" s="110"/>
      <c r="E24" s="110"/>
      <c r="F24" s="110"/>
      <c r="G24" s="110"/>
      <c r="H24" s="19"/>
      <c r="I24" s="20">
        <v>1</v>
      </c>
      <c r="J24" s="21">
        <v>350</v>
      </c>
      <c r="K24" s="22">
        <f t="shared" si="0"/>
        <v>350</v>
      </c>
    </row>
    <row r="25" spans="1:11" s="15" customFormat="1" ht="20.399999999999999" customHeight="1" x14ac:dyDescent="0.3">
      <c r="B25" s="18" t="str">
        <f>IF(C25="","","6")</f>
        <v>6</v>
      </c>
      <c r="C25" s="109" t="s">
        <v>74</v>
      </c>
      <c r="D25" s="110"/>
      <c r="E25" s="110"/>
      <c r="F25" s="110"/>
      <c r="G25" s="110"/>
      <c r="H25" s="19"/>
      <c r="I25" s="20">
        <v>6</v>
      </c>
      <c r="J25" s="21">
        <v>150</v>
      </c>
      <c r="K25" s="22">
        <f t="shared" si="0"/>
        <v>900</v>
      </c>
    </row>
    <row r="26" spans="1:11" s="15" customFormat="1" ht="20.399999999999999" customHeight="1" x14ac:dyDescent="0.3">
      <c r="B26" s="18" t="str">
        <f>IF(C26="","","7")</f>
        <v/>
      </c>
      <c r="C26" s="109"/>
      <c r="D26" s="110"/>
      <c r="E26" s="110"/>
      <c r="F26" s="110"/>
      <c r="G26" s="110"/>
      <c r="H26" s="19"/>
      <c r="I26" s="20"/>
      <c r="J26" s="21"/>
      <c r="K26" s="22" t="str">
        <f t="shared" si="0"/>
        <v/>
      </c>
    </row>
    <row r="27" spans="1:11" s="15" customFormat="1" ht="20.399999999999999" customHeight="1" x14ac:dyDescent="0.3">
      <c r="B27" s="18"/>
      <c r="C27" s="109"/>
      <c r="D27" s="110"/>
      <c r="E27" s="110"/>
      <c r="F27" s="110"/>
      <c r="G27" s="110"/>
      <c r="H27" s="19"/>
      <c r="I27" s="20"/>
      <c r="J27" s="21"/>
      <c r="K27" s="22" t="str">
        <f t="shared" si="0"/>
        <v/>
      </c>
    </row>
    <row r="28" spans="1:11" s="15" customFormat="1" ht="20.399999999999999" customHeight="1" x14ac:dyDescent="0.3">
      <c r="B28" s="18"/>
      <c r="C28" s="109"/>
      <c r="D28" s="110"/>
      <c r="E28" s="110"/>
      <c r="F28" s="110"/>
      <c r="G28" s="110"/>
      <c r="H28" s="19"/>
      <c r="I28" s="20"/>
      <c r="J28" s="21"/>
      <c r="K28" s="22" t="str">
        <f t="shared" si="0"/>
        <v/>
      </c>
    </row>
    <row r="29" spans="1:11" s="15" customFormat="1" ht="20.399999999999999" customHeight="1" x14ac:dyDescent="0.3">
      <c r="B29" s="18"/>
      <c r="C29" s="109"/>
      <c r="D29" s="110"/>
      <c r="E29" s="110"/>
      <c r="F29" s="110"/>
      <c r="G29" s="110"/>
      <c r="H29" s="19"/>
      <c r="I29" s="23"/>
      <c r="J29" s="21"/>
      <c r="K29" s="22" t="str">
        <f t="shared" si="0"/>
        <v/>
      </c>
    </row>
    <row r="30" spans="1:11" s="15" customFormat="1" ht="20.399999999999999" customHeight="1" x14ac:dyDescent="0.3">
      <c r="B30" s="18"/>
      <c r="C30" s="109"/>
      <c r="D30" s="110"/>
      <c r="E30" s="110"/>
      <c r="F30" s="110"/>
      <c r="G30" s="110"/>
      <c r="H30" s="19"/>
      <c r="I30" s="23"/>
      <c r="J30" s="21"/>
      <c r="K30" s="22" t="str">
        <f t="shared" si="0"/>
        <v/>
      </c>
    </row>
    <row r="31" spans="1:11" s="15" customFormat="1" ht="20.399999999999999" customHeight="1" thickBot="1" x14ac:dyDescent="0.35">
      <c r="B31" s="24"/>
      <c r="C31" s="114" t="s">
        <v>16</v>
      </c>
      <c r="D31" s="115"/>
      <c r="E31" s="115"/>
      <c r="F31" s="115"/>
      <c r="G31" s="115"/>
      <c r="H31" s="25"/>
      <c r="I31" s="26">
        <f ca="1">SUM(I20:K66)</f>
        <v>0</v>
      </c>
      <c r="J31" s="27"/>
      <c r="K31" s="28">
        <f>SUM(K20:K30)</f>
        <v>4450</v>
      </c>
    </row>
    <row r="32" spans="1:11" ht="15.6" customHeight="1" x14ac:dyDescent="0.25">
      <c r="A32" s="29"/>
      <c r="B32" s="30" t="s">
        <v>17</v>
      </c>
      <c r="C32" s="31"/>
      <c r="D32" s="31"/>
      <c r="E32" s="31"/>
      <c r="F32" s="31"/>
      <c r="G32" s="32"/>
      <c r="H32" s="116"/>
      <c r="I32" s="117"/>
      <c r="J32" s="33" t="s">
        <v>18</v>
      </c>
      <c r="K32" s="34"/>
    </row>
    <row r="33" spans="1:11" ht="15.6" customHeight="1" x14ac:dyDescent="0.25">
      <c r="A33" s="29"/>
      <c r="B33" s="122" t="s">
        <v>75</v>
      </c>
      <c r="C33" s="123"/>
      <c r="D33" s="123"/>
      <c r="E33" s="123"/>
      <c r="F33" s="123"/>
      <c r="G33" s="124"/>
      <c r="H33" s="118"/>
      <c r="I33" s="119"/>
      <c r="J33" s="35" t="s">
        <v>20</v>
      </c>
      <c r="K33" s="34"/>
    </row>
    <row r="34" spans="1:11" ht="15.6" customHeight="1" x14ac:dyDescent="0.25">
      <c r="B34" s="36" t="s">
        <v>21</v>
      </c>
      <c r="C34" s="37"/>
      <c r="D34" s="37"/>
      <c r="E34" s="37"/>
      <c r="F34" s="37"/>
      <c r="G34" s="38"/>
      <c r="H34" s="118"/>
      <c r="I34" s="119"/>
      <c r="J34" s="35" t="s">
        <v>22</v>
      </c>
      <c r="K34" s="34"/>
    </row>
    <row r="35" spans="1:11" s="15" customFormat="1" ht="19.5" customHeight="1" x14ac:dyDescent="0.25">
      <c r="B35" s="39" t="s">
        <v>23</v>
      </c>
      <c r="C35" s="37"/>
      <c r="D35" s="37"/>
      <c r="E35" s="37"/>
      <c r="F35" s="37"/>
      <c r="G35" s="38"/>
      <c r="H35" s="118"/>
      <c r="I35" s="119"/>
      <c r="J35" s="40" t="s">
        <v>24</v>
      </c>
      <c r="K35" s="41">
        <f>SUM(K31:K34)</f>
        <v>4450</v>
      </c>
    </row>
    <row r="36" spans="1:11" s="15" customFormat="1" x14ac:dyDescent="0.25">
      <c r="B36" s="39" t="s">
        <v>25</v>
      </c>
      <c r="C36" s="37"/>
      <c r="D36" s="37"/>
      <c r="E36" s="125" t="s">
        <v>26</v>
      </c>
      <c r="F36" s="125"/>
      <c r="G36" s="126"/>
      <c r="H36" s="118"/>
      <c r="I36" s="119"/>
      <c r="J36" s="42"/>
      <c r="K36" s="43"/>
    </row>
    <row r="37" spans="1:11" s="15" customFormat="1" x14ac:dyDescent="0.25">
      <c r="B37" s="39" t="s">
        <v>27</v>
      </c>
      <c r="C37" s="37"/>
      <c r="D37" s="37"/>
      <c r="E37" s="37"/>
      <c r="F37" s="37"/>
      <c r="G37" s="38"/>
      <c r="H37" s="118"/>
      <c r="I37" s="119"/>
      <c r="J37" s="42"/>
      <c r="K37" s="43"/>
    </row>
    <row r="38" spans="1:11" x14ac:dyDescent="0.25">
      <c r="B38" s="39" t="s">
        <v>28</v>
      </c>
      <c r="C38" s="37"/>
      <c r="D38" s="37"/>
      <c r="E38" s="37"/>
      <c r="F38" s="37"/>
      <c r="G38" s="38"/>
      <c r="H38" s="118"/>
      <c r="I38" s="119"/>
      <c r="J38" s="44"/>
      <c r="K38" s="45"/>
    </row>
    <row r="39" spans="1:11" x14ac:dyDescent="0.25">
      <c r="B39" s="46"/>
      <c r="C39" s="47"/>
      <c r="D39" s="47"/>
      <c r="E39" s="47"/>
      <c r="F39" s="47"/>
      <c r="G39" s="48"/>
      <c r="H39" s="118"/>
      <c r="I39" s="119"/>
      <c r="J39" s="49"/>
      <c r="K39" s="50"/>
    </row>
    <row r="40" spans="1:11" ht="12.9" customHeight="1" x14ac:dyDescent="0.25">
      <c r="B40" s="14"/>
      <c r="C40" s="9"/>
      <c r="D40" s="9"/>
      <c r="E40" s="92"/>
      <c r="F40" s="92"/>
      <c r="G40" s="93"/>
      <c r="H40" s="120"/>
      <c r="I40" s="121"/>
      <c r="J40" s="51"/>
      <c r="K40" s="52"/>
    </row>
    <row r="41" spans="1:11" x14ac:dyDescent="0.25">
      <c r="B41" s="14"/>
      <c r="C41" s="9"/>
      <c r="D41" s="9"/>
      <c r="E41" s="9"/>
      <c r="F41" s="9"/>
      <c r="G41" s="9"/>
      <c r="H41" s="9"/>
      <c r="I41" s="9"/>
      <c r="J41" s="9"/>
      <c r="K41" s="10"/>
    </row>
    <row r="42" spans="1:11" x14ac:dyDescent="0.25">
      <c r="B42" s="77"/>
      <c r="C42" s="53"/>
      <c r="D42" s="53"/>
      <c r="E42" s="53"/>
      <c r="F42" s="53"/>
      <c r="G42" s="53"/>
      <c r="H42" s="53"/>
      <c r="I42" s="53"/>
      <c r="J42" s="53"/>
      <c r="K42" s="54"/>
    </row>
    <row r="43" spans="1:11" x14ac:dyDescent="0.25">
      <c r="B43" s="77"/>
      <c r="C43" s="53"/>
      <c r="D43" s="53"/>
      <c r="E43" s="53"/>
      <c r="F43" s="53"/>
      <c r="G43" s="53"/>
      <c r="H43" s="53"/>
      <c r="I43" s="53"/>
      <c r="J43" s="53"/>
      <c r="K43" s="54"/>
    </row>
    <row r="44" spans="1:11" x14ac:dyDescent="0.25">
      <c r="B44" s="77"/>
      <c r="C44" s="53"/>
      <c r="D44" s="53"/>
      <c r="E44" s="53"/>
      <c r="F44" s="53"/>
      <c r="G44" s="53"/>
      <c r="H44" s="53"/>
      <c r="I44" s="53"/>
      <c r="J44" s="53"/>
      <c r="K44" s="54"/>
    </row>
    <row r="45" spans="1:11" x14ac:dyDescent="0.25">
      <c r="B45" s="79"/>
      <c r="C45" s="56"/>
      <c r="D45" s="56"/>
      <c r="E45" s="56"/>
      <c r="F45" s="56"/>
      <c r="G45" s="56"/>
      <c r="H45" s="56"/>
      <c r="I45" s="56"/>
      <c r="J45" s="56"/>
      <c r="K45" s="57"/>
    </row>
    <row r="46" spans="1:11" x14ac:dyDescent="0.25">
      <c r="B46" s="58"/>
      <c r="C46" s="59"/>
      <c r="D46" s="59"/>
      <c r="E46" s="59"/>
      <c r="F46" s="59"/>
      <c r="G46" s="59"/>
      <c r="H46" s="59"/>
      <c r="I46" s="59"/>
      <c r="J46" s="59"/>
      <c r="K46" s="60"/>
    </row>
    <row r="47" spans="1:11" ht="15" x14ac:dyDescent="0.25">
      <c r="B47" s="61"/>
      <c r="C47" s="56"/>
      <c r="D47" s="56"/>
      <c r="E47" s="56"/>
      <c r="F47" s="56"/>
      <c r="G47" s="9"/>
      <c r="H47" s="80"/>
      <c r="I47" s="80"/>
      <c r="J47" s="56"/>
      <c r="K47" s="57"/>
    </row>
    <row r="48" spans="1:11" ht="13.8" thickBot="1" x14ac:dyDescent="0.3">
      <c r="B48" s="63" t="s">
        <v>29</v>
      </c>
      <c r="C48" s="64"/>
      <c r="D48" s="64"/>
      <c r="E48" s="64"/>
      <c r="F48" s="64"/>
      <c r="G48" s="65"/>
      <c r="H48" s="66" t="s">
        <v>30</v>
      </c>
      <c r="I48" s="66"/>
      <c r="J48" s="64"/>
      <c r="K48" s="67"/>
    </row>
    <row r="50" spans="2:11" x14ac:dyDescent="0.25">
      <c r="B50" s="128"/>
      <c r="C50" s="128"/>
      <c r="D50" s="128"/>
      <c r="E50" s="128"/>
      <c r="F50" s="128"/>
      <c r="G50" s="128"/>
      <c r="H50" s="128"/>
      <c r="I50" s="128"/>
      <c r="J50" s="128"/>
      <c r="K50" s="128"/>
    </row>
  </sheetData>
  <mergeCells count="31">
    <mergeCell ref="C31:G31"/>
    <mergeCell ref="H32:I40"/>
    <mergeCell ref="B33:G33"/>
    <mergeCell ref="E36:G36"/>
    <mergeCell ref="E40:G40"/>
    <mergeCell ref="B50:K50"/>
    <mergeCell ref="C25:G25"/>
    <mergeCell ref="C26:G26"/>
    <mergeCell ref="C27:G27"/>
    <mergeCell ref="C28:G28"/>
    <mergeCell ref="C29:G29"/>
    <mergeCell ref="C30:G30"/>
    <mergeCell ref="C19:H19"/>
    <mergeCell ref="C20:G20"/>
    <mergeCell ref="C21:G21"/>
    <mergeCell ref="C22:G22"/>
    <mergeCell ref="C23:G23"/>
    <mergeCell ref="C24:G24"/>
    <mergeCell ref="B12:E12"/>
    <mergeCell ref="B13:E13"/>
    <mergeCell ref="E16:F16"/>
    <mergeCell ref="G16:K16"/>
    <mergeCell ref="C17:D17"/>
    <mergeCell ref="E17:F17"/>
    <mergeCell ref="G17:K17"/>
    <mergeCell ref="B3:K3"/>
    <mergeCell ref="B4:K4"/>
    <mergeCell ref="F6:G6"/>
    <mergeCell ref="C9:E9"/>
    <mergeCell ref="B10:E10"/>
    <mergeCell ref="B11:E11"/>
  </mergeCells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RAVI JADEJA RAMANIYA</vt:lpstr>
      <vt:lpstr>KADAR KHAN WASHING MACHINE</vt:lpstr>
      <vt:lpstr>Sheet2</vt:lpstr>
      <vt:lpstr>DHANJAY AC STOWNSHIP</vt:lpstr>
      <vt:lpstr>West Coast</vt:lpstr>
      <vt:lpstr>AON</vt:lpstr>
      <vt:lpstr>AON!Print_Area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2026-08-12T13:34:43Z</cp:lastPrinted>
  <dcterms:created xsi:type="dcterms:W3CDTF">2026-08-02T14:17:41Z</dcterms:created>
  <dcterms:modified xsi:type="dcterms:W3CDTF">2026-08-12T13:38:59Z</dcterms:modified>
</cp:coreProperties>
</file>